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TR_Report" sheetId="3" state="visible" r:id="rId5"/>
    <sheet name="Rul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<sst xmlns="http://schemas.openxmlformats.org/spreadsheetml/2006/main" count="269" uniqueCount="144">
  <si>
    <t xml:space="preserve">Transaction Risk Monitor</t>
  </si>
  <si>
    <t xml:space="preserve">March 2026 batch · structuring, mule / pass-through and dormant-velocity typologies</t>
  </si>
  <si>
    <t xml:space="preserve">Total Transactions</t>
  </si>
  <si>
    <t xml:space="preserve">Flagged (STR to file)</t>
  </si>
  <si>
    <t xml:space="preserve">Flagged Volume (₹)</t>
  </si>
  <si>
    <t xml:space="preserve">Total Customers</t>
  </si>
  <si>
    <t xml:space="preserve">High-Risk Customers</t>
  </si>
  <si>
    <t xml:space="preserve">Alert Type</t>
  </si>
  <si>
    <t xml:space="preserve">Count</t>
  </si>
  <si>
    <t xml:space="preserve">Structuring / Smurfing</t>
  </si>
  <si>
    <t xml:space="preserve">Mule / Pass-Through</t>
  </si>
  <si>
    <t xml:space="preserve">Dormant Velocity Surge</t>
  </si>
  <si>
    <t xml:space="preserve">Alert counts come straight from the Data sheet flag columns.</t>
  </si>
  <si>
    <t xml:space="preserve">Where the flagged money went, and when</t>
  </si>
  <si>
    <t xml:space="preserve">Customers under review</t>
  </si>
  <si>
    <t xml:space="preserve">Customer ID</t>
  </si>
  <si>
    <t xml:space="preserve">Customer Name</t>
  </si>
  <si>
    <t xml:space="preserve">Transactions</t>
  </si>
  <si>
    <t xml:space="preserve">Flagged</t>
  </si>
  <si>
    <t xml:space="preserve">Flagged Value</t>
  </si>
  <si>
    <t xml:space="preserve">Turnover Ratio</t>
  </si>
  <si>
    <t xml:space="preserve">Status</t>
  </si>
  <si>
    <t xml:space="preserve">CUST01</t>
  </si>
  <si>
    <t xml:space="preserve">CUST02</t>
  </si>
  <si>
    <t xml:space="preserve">CUST03</t>
  </si>
  <si>
    <t xml:space="preserve">CUST04</t>
  </si>
  <si>
    <t xml:space="preserve">CUST05</t>
  </si>
  <si>
    <t xml:space="preserve">CUST06</t>
  </si>
  <si>
    <t xml:space="preserve">CUST07</t>
  </si>
  <si>
    <t xml:space="preserve">CUST08</t>
  </si>
  <si>
    <t xml:space="preserve">CUST09</t>
  </si>
  <si>
    <t xml:space="preserve">Transaction_ID</t>
  </si>
  <si>
    <t xml:space="preserve">Customer_ID</t>
  </si>
  <si>
    <t xml:space="preserve">Customer_Name</t>
  </si>
  <si>
    <t xml:space="preserve">Occupation</t>
  </si>
  <si>
    <t xml:space="preserve">Declared_Monthly_Income</t>
  </si>
  <si>
    <t xml:space="preserve">Transaction_Date</t>
  </si>
  <si>
    <t xml:space="preserve">Channel</t>
  </si>
  <si>
    <t xml:space="preserve">Amount</t>
  </si>
  <si>
    <t xml:space="preserve">Credit_Debit_Flag</t>
  </si>
  <si>
    <t xml:space="preserve">Counterparty_Name</t>
  </si>
  <si>
    <t xml:space="preserve">Country</t>
  </si>
  <si>
    <t xml:space="preserve">NEAR THRESHOLD</t>
  </si>
  <si>
    <t xml:space="preserve">TURNOVER RATIO</t>
  </si>
  <si>
    <t xml:space="preserve">Alert_Structuring</t>
  </si>
  <si>
    <t xml:space="preserve">Alert_Mule</t>
  </si>
  <si>
    <t xml:space="preserve">Alert_Dormant</t>
  </si>
  <si>
    <t xml:space="preserve">Final_Risk_Rating</t>
  </si>
  <si>
    <t xml:space="preserve">IsHighRisk</t>
  </si>
  <si>
    <t xml:space="preserve">Txn_Day</t>
  </si>
  <si>
    <t xml:space="preserve">Flag_Seq</t>
  </si>
  <si>
    <t xml:space="preserve">Flag_Key</t>
  </si>
  <si>
    <t xml:space="preserve">TXN1001</t>
  </si>
  <si>
    <t xml:space="preserve">Aarav Sharma</t>
  </si>
  <si>
    <t xml:space="preserve">Salaried</t>
  </si>
  <si>
    <t xml:space="preserve">UPI</t>
  </si>
  <si>
    <t xml:space="preserve">Debit</t>
  </si>
  <si>
    <t xml:space="preserve">Swiggy</t>
  </si>
  <si>
    <t xml:space="preserve">India</t>
  </si>
  <si>
    <t xml:space="preserve">TXN1002</t>
  </si>
  <si>
    <t xml:space="preserve">Amazon India</t>
  </si>
  <si>
    <t xml:space="preserve">TXN1003</t>
  </si>
  <si>
    <t xml:space="preserve">Vikram Malhotra</t>
  </si>
  <si>
    <t xml:space="preserve">Self-Employed</t>
  </si>
  <si>
    <t xml:space="preserve">Cash</t>
  </si>
  <si>
    <t xml:space="preserve">Credit</t>
  </si>
  <si>
    <t xml:space="preserve">Self-Deposit</t>
  </si>
  <si>
    <t xml:space="preserve">TXN1004</t>
  </si>
  <si>
    <t xml:space="preserve">TXN1005</t>
  </si>
  <si>
    <t xml:space="preserve">TXN1006</t>
  </si>
  <si>
    <t xml:space="preserve">TXN1007</t>
  </si>
  <si>
    <t xml:space="preserve">Pooja Verma</t>
  </si>
  <si>
    <t xml:space="preserve">Student</t>
  </si>
  <si>
    <t xml:space="preserve">RTGS</t>
  </si>
  <si>
    <t xml:space="preserve">Apex Traders FZE</t>
  </si>
  <si>
    <t xml:space="preserve">UAE</t>
  </si>
  <si>
    <t xml:space="preserve">TXN1008</t>
  </si>
  <si>
    <t xml:space="preserve">Wire</t>
  </si>
  <si>
    <t xml:space="preserve">Zion Holdings Ltd</t>
  </si>
  <si>
    <t xml:space="preserve">Seychelles</t>
  </si>
  <si>
    <t xml:space="preserve">TXN1009</t>
  </si>
  <si>
    <t xml:space="preserve">Karan Mehra</t>
  </si>
  <si>
    <t xml:space="preserve">Retired</t>
  </si>
  <si>
    <t xml:space="preserve">Local Grocery</t>
  </si>
  <si>
    <t xml:space="preserve">TXN1010</t>
  </si>
  <si>
    <t xml:space="preserve">BlueOcean Logistics</t>
  </si>
  <si>
    <t xml:space="preserve">TXN1011</t>
  </si>
  <si>
    <t xml:space="preserve">Self Withdrawal</t>
  </si>
  <si>
    <t xml:space="preserve">TXN1012</t>
  </si>
  <si>
    <t xml:space="preserve">Sneha Nair</t>
  </si>
  <si>
    <t xml:space="preserve">Doctor</t>
  </si>
  <si>
    <t xml:space="preserve">MedEquip Supplies</t>
  </si>
  <si>
    <t xml:space="preserve">TXN1013</t>
  </si>
  <si>
    <t xml:space="preserve">Apollo Pharmacy</t>
  </si>
  <si>
    <t xml:space="preserve">TXN1014</t>
  </si>
  <si>
    <t xml:space="preserve">Rajesh Patel</t>
  </si>
  <si>
    <t xml:space="preserve">Trader</t>
  </si>
  <si>
    <t xml:space="preserve">Cash Collection</t>
  </si>
  <si>
    <t xml:space="preserve">TXN1015</t>
  </si>
  <si>
    <t xml:space="preserve">TXN1016</t>
  </si>
  <si>
    <t xml:space="preserve">Ananya Sen</t>
  </si>
  <si>
    <t xml:space="preserve">Freelancer</t>
  </si>
  <si>
    <t xml:space="preserve">Upwork Escrow</t>
  </si>
  <si>
    <t xml:space="preserve">USA</t>
  </si>
  <si>
    <t xml:space="preserve">TXN1017</t>
  </si>
  <si>
    <t xml:space="preserve">Imran Khan</t>
  </si>
  <si>
    <t xml:space="preserve">Unemployed</t>
  </si>
  <si>
    <t xml:space="preserve">Branch Deposit</t>
  </si>
  <si>
    <t xml:space="preserve">TXN1018</t>
  </si>
  <si>
    <t xml:space="preserve">TXN1019</t>
  </si>
  <si>
    <t xml:space="preserve">Crypto Gateway P2P</t>
  </si>
  <si>
    <t xml:space="preserve">TXN1020</t>
  </si>
  <si>
    <t xml:space="preserve">Rohan Gupta</t>
  </si>
  <si>
    <t xml:space="preserve">Croma Retail</t>
  </si>
  <si>
    <t xml:space="preserve">Suspicious Transaction Report – Case Dossier (DRAFT)</t>
  </si>
  <si>
    <t xml:space="preserve">Draft for internal review. The actual STR is filed on the FIU-IND FINnet portal in its prescribed format; copy the narrative from here.</t>
  </si>
  <si>
    <t xml:space="preserve">Select Customer ID</t>
  </si>
  <si>
    <t xml:space="preserve">← choose from dropdown</t>
  </si>
  <si>
    <t xml:space="preserve">Declared Monthly Income</t>
  </si>
  <si>
    <t xml:space="preserve">Flagged Transactions</t>
  </si>
  <si>
    <t xml:space="preserve">Turnover Ratio (credits ÷ income)</t>
  </si>
  <si>
    <t xml:space="preserve">First Flagged Date</t>
  </si>
  <si>
    <t xml:space="preserve">Last Flagged Date</t>
  </si>
  <si>
    <t xml:space="preserve">Typologies</t>
  </si>
  <si>
    <t xml:space="preserve">Channels (flagged txns)</t>
  </si>
  <si>
    <t xml:space="preserve">Narrative (5 Ws)</t>
  </si>
  <si>
    <t xml:space="preserve">Flagged transactions</t>
  </si>
  <si>
    <t xml:space="preserve">Txn ID</t>
  </si>
  <si>
    <t xml:space="preserve">Date</t>
  </si>
  <si>
    <t xml:space="preserve">Type</t>
  </si>
  <si>
    <t xml:space="preserve">Counterparty</t>
  </si>
  <si>
    <t xml:space="preserve">Shows up to 10 flagged transactions per customer.</t>
  </si>
  <si>
    <t xml:space="preserve">Detection rules and assumptions (as built in the Data sheet)</t>
  </si>
  <si>
    <t xml:space="preserve">Cash credit of ₹45,000–₹49,999 or ₹9,00,000–₹9,99,999.</t>
  </si>
  <si>
    <t xml:space="preserve">All credits of the customer ÷ declared monthly income (income 0 is treated as 1). No date filter, so it suits a single-month batch.</t>
  </si>
  <si>
    <t xml:space="preserve">Near-threshold cash credit AND at least 2 such cash credits by the same customer within the same day and the 2 days before.</t>
  </si>
  <si>
    <t xml:space="preserve">Debit of ₹50,000+ that is ≥95% of the customer's credits in the previous 1 day.</t>
  </si>
  <si>
    <t xml:space="preserve">Credit of ₹10,00,000+ with no other transaction by the customer in the previous 180 days.</t>
  </si>
  <si>
    <t xml:space="preserve">HIGH RISK if any alert fires OR turnover ratio ≥ 5, else LOW RISK. Because the ratio is per customer, every transaction of such a customer is HIGH.</t>
  </si>
  <si>
    <t xml:space="preserve">Lists</t>
  </si>
  <si>
    <t xml:space="preserve">Customer IDs, counterparties and days on Dashboard/Summary are typed lists; add rows and copy formulas down for new names. Formulas read Data rows 2–500.</t>
  </si>
  <si>
    <t xml:space="preserve">Chart feeder tables (flagged transactions only). Add a new counterparty/date row and copy the formulas down when new data has new names or days.</t>
  </si>
  <si>
    <t xml:space="preserve">Flagged Txns</t>
  </si>
  <si>
    <t xml:space="preserve">Day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</si>
</sst>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&quot;₹ &quot;#,##0"/>
    <numFmt numFmtId="167" formatCode="General"/>
    <numFmt numFmtId="168" formatCode="#,##0.0"/>
    <numFmt numFmtId="169" formatCode="dd\-mm\-yyyy\ hh:mm"/>
    <numFmt numFmtId="170" formatCode="#,##0.00"/>
    <numFmt numFmtId="171" formatCode="dd\-mm\-yyyy"/>
    <numFmt numFmtId="172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10"/>
      <color rgb="FF666666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22"/>
      <color rgb="FF1F2A44"/>
      <name val="Arial"/>
      <family val="0"/>
      <charset val="1"/>
    </font>
    <font>
      <b val="true"/>
      <sz val="22"/>
      <color rgb="FF9B1C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A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2A4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5"/>
        <bgColor rgb="FFD8F0E0"/>
      </patternFill>
    </fill>
    <fill>
      <patternFill patternType="solid">
        <fgColor rgb="FF1F2A44"/>
        <bgColor rgb="FF003366"/>
      </patternFill>
    </fill>
    <fill>
      <patternFill patternType="solid">
        <fgColor rgb="FFFFF7C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  <border diagonalUp="false" diagonalDown="false">
      <left style="thin">
        <color rgb="FFC9D1DE"/>
      </left>
      <right/>
      <top style="thin">
        <color rgb="FFC9D1DE"/>
      </top>
      <bottom style="thin">
        <color rgb="FFC9D1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color rgb="FF9B1C1C"/>
      </font>
      <fill>
        <patternFill>
          <bgColor rgb="FFF8D7DA"/>
        </patternFill>
      </fill>
    </dxf>
    <dxf>
      <fill>
        <patternFill>
          <bgColor rgb="FFD8F0E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B4530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392B"/>
      <rgbColor rgb="FFFFF7CC"/>
      <rgbColor rgb="FFE8EDF5"/>
      <rgbColor rgb="FF660066"/>
      <rgbColor rgb="FFFF8080"/>
      <rgbColor rgb="FF0066CC"/>
      <rgbColor rgb="FFC9D1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8F0E0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B1C1C"/>
      <rgbColor rgb="FFB45309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Alerts by Typology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Dashboard!$B$9:$B$11</c:f>
              <c:strCache>
                <c:ptCount val="3"/>
                <c:pt idx="0">
                  <c:v>Structuring / Smurfing</c:v>
                </c:pt>
                <c:pt idx="1">
                  <c:v>Mule / Pass-Through</c:v>
                </c:pt>
                <c:pt idx="2">
                  <c:v>Dormant Velocity Surge</c:v>
                </c:pt>
              </c:strCache>
            </c:strRef>
          </c:cat>
          <c:val>
            <c:numRef>
              <c:f>Dashboard!$C$9:$C$11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51426089"/>
        <c:axId val="47711240"/>
      </c:barChart>
      <c:catAx>
        <c:axId val="514260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11240"/>
        <c:crosses val="autoZero"/>
        <c:auto val="1"/>
        <c:lblAlgn val="ctr"/>
        <c:lblOffset val="100"/>
        <c:noMultiLvlLbl val="0"/>
      </c:catAx>
      <c:valAx>
        <c:axId val="47711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26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Flagged Value by Counterparty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Flagged Value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Summary!$A$4:$A$12</c:f>
              <c:strCache>
                <c:ptCount val="9"/>
                <c:pt idx="0">
                  <c:v>BlueOcean Logistics</c:v>
                </c:pt>
                <c:pt idx="1">
                  <c:v>Cash Collection</c:v>
                </c:pt>
                <c:pt idx="2">
                  <c:v>Apex Traders FZE</c:v>
                </c:pt>
                <c:pt idx="3">
                  <c:v>Zion Holdings Ltd</c:v>
                </c:pt>
                <c:pt idx="4">
                  <c:v>Self Withdrawal</c:v>
                </c:pt>
                <c:pt idx="5">
                  <c:v>Self-Deposit</c:v>
                </c:pt>
                <c:pt idx="6">
                  <c:v>Branch Deposit</c:v>
                </c:pt>
                <c:pt idx="7">
                  <c:v>Crypto Gateway P2P</c:v>
                </c:pt>
                <c:pt idx="8">
                  <c:v>Local Grocery</c:v>
                </c:pt>
              </c:strCache>
            </c:strRef>
          </c:cat>
          <c:val>
            <c:numRef>
              <c:f>Summary!$B$4:$B$12</c:f>
              <c:numCache>
                <c:formatCode>"₹ "#,##0</c:formatCode>
                <c:ptCount val="9"/>
                <c:pt idx="0">
                  <c:v>2500000</c:v>
                </c:pt>
                <c:pt idx="1">
                  <c:v>1975000</c:v>
                </c:pt>
                <c:pt idx="2">
                  <c:v>1200000</c:v>
                </c:pt>
                <c:pt idx="3">
                  <c:v>1180000</c:v>
                </c:pt>
                <c:pt idx="4">
                  <c:v>950000</c:v>
                </c:pt>
                <c:pt idx="5">
                  <c:v>146500</c:v>
                </c:pt>
                <c:pt idx="6">
                  <c:v>97500</c:v>
                </c:pt>
                <c:pt idx="7">
                  <c:v>96000</c:v>
                </c:pt>
                <c:pt idx="8">
                  <c:v>2000</c:v>
                </c:pt>
              </c:numCache>
            </c:numRef>
          </c:val>
        </c:ser>
        <c:gapWidth val="150"/>
        <c:overlap val="0"/>
        <c:axId val="59841841"/>
        <c:axId val="45523300"/>
      </c:barChart>
      <c:catAx>
        <c:axId val="598418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23300"/>
        <c:crosses val="autoZero"/>
        <c:auto val="1"/>
        <c:lblAlgn val="ctr"/>
        <c:lblOffset val="100"/>
        <c:noMultiLvlLbl val="0"/>
      </c:catAx>
      <c:valAx>
        <c:axId val="45523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41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Flagged Value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Summary!F3</c:f>
              <c:strCache>
                <c:ptCount val="1"/>
                <c:pt idx="0">
                  <c:v>Flagged Value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Summary!$E$4:$E$12</c:f>
              <c:strCache>
                <c:ptCount val="9"/>
                <c:pt idx="0">
                  <c:v>10-08-2025</c:v>
                </c:pt>
                <c:pt idx="1">
                  <c:v>01-03-2026</c:v>
                </c:pt>
                <c:pt idx="2">
                  <c:v>02-03-2026</c:v>
                </c:pt>
                <c:pt idx="3">
                  <c:v>03-03-2026</c:v>
                </c:pt>
                <c:pt idx="4">
                  <c:v>04-03-2026</c:v>
                </c:pt>
                <c:pt idx="5">
                  <c:v>05-03-2026</c:v>
                </c:pt>
                <c:pt idx="6">
                  <c:v>06-03-2026</c:v>
                </c:pt>
                <c:pt idx="7">
                  <c:v>07-03-2026</c:v>
                </c:pt>
                <c:pt idx="8">
                  <c:v>08-03-2026</c:v>
                </c:pt>
              </c:strCache>
            </c:strRef>
          </c:cat>
          <c:val>
            <c:numRef>
              <c:f>Summary!$F$4:$F$12</c:f>
              <c:numCache>
                <c:formatCode>"₹ "#,##0</c:formatCode>
                <c:ptCount val="9"/>
                <c:pt idx="0">
                  <c:v>2000</c:v>
                </c:pt>
                <c:pt idx="1">
                  <c:v>985000</c:v>
                </c:pt>
                <c:pt idx="2">
                  <c:v>990000</c:v>
                </c:pt>
                <c:pt idx="3">
                  <c:v>49000</c:v>
                </c:pt>
                <c:pt idx="4">
                  <c:v>48000</c:v>
                </c:pt>
                <c:pt idx="5">
                  <c:v>49500</c:v>
                </c:pt>
                <c:pt idx="6">
                  <c:v>2380000</c:v>
                </c:pt>
                <c:pt idx="7">
                  <c:v>2597500</c:v>
                </c:pt>
                <c:pt idx="8">
                  <c:v>1046000</c:v>
                </c:pt>
              </c:numCache>
            </c:numRef>
          </c:val>
        </c:ser>
        <c:gapWidth val="150"/>
        <c:overlap val="0"/>
        <c:axId val="89807315"/>
        <c:axId val="4607947"/>
      </c:barChart>
      <c:catAx>
        <c:axId val="89807315"/>
        <c:scaling>
          <c:orientation val="minMax"/>
        </c:scaling>
        <c:delete val="0"/>
        <c:axPos val="b"/>
        <c:numFmt formatCode="dd\-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7947"/>
        <c:crosses val="autoZero"/>
        <c:auto val="1"/>
        <c:lblAlgn val="ctr"/>
        <c:lblOffset val="100"/>
        <c:noMultiLvlLbl val="0"/>
      </c:catAx>
      <c:valAx>
        <c:axId val="4607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07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70560</xdr:rowOff>
    </xdr:from>
    <xdr:to>
      <xdr:col>6</xdr:col>
      <xdr:colOff>810360</xdr:colOff>
      <xdr:row>16</xdr:row>
      <xdr:rowOff>181080</xdr:rowOff>
    </xdr:to>
    <xdr:graphicFrame>
      <xdr:nvGraphicFramePr>
        <xdr:cNvPr id="0" name="Chart 1"/>
        <xdr:cNvGraphicFramePr/>
      </xdr:nvGraphicFramePr>
      <xdr:xfrm>
        <a:off x="3030840" y="1619280"/>
        <a:ext cx="5039640" cy="20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15</xdr:row>
      <xdr:rowOff>70200</xdr:rowOff>
    </xdr:from>
    <xdr:to>
      <xdr:col>4</xdr:col>
      <xdr:colOff>1170360</xdr:colOff>
      <xdr:row>31</xdr:row>
      <xdr:rowOff>82080</xdr:rowOff>
    </xdr:to>
    <xdr:graphicFrame>
      <xdr:nvGraphicFramePr>
        <xdr:cNvPr id="1" name="Chart 2"/>
        <xdr:cNvGraphicFramePr/>
      </xdr:nvGraphicFramePr>
      <xdr:xfrm>
        <a:off x="211320" y="3333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15</xdr:row>
      <xdr:rowOff>70200</xdr:rowOff>
    </xdr:from>
    <xdr:to>
      <xdr:col>8</xdr:col>
      <xdr:colOff>1170720</xdr:colOff>
      <xdr:row>31</xdr:row>
      <xdr:rowOff>82080</xdr:rowOff>
    </xdr:to>
    <xdr:graphicFrame>
      <xdr:nvGraphicFramePr>
        <xdr:cNvPr id="2" name="Chart 3"/>
        <xdr:cNvGraphicFramePr/>
      </xdr:nvGraphicFramePr>
      <xdr:xfrm>
        <a:off x="5850360" y="3333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xnTable" displayName="TxnTable" ref="A1:U21" headerRowCount="1" totalsRowCount="0" totalsRowShown="0">
  <autoFilter ref="A1:U21"/>
  <tableColumns count="21">
    <tableColumn id="1" name="Transaction_ID"/>
    <tableColumn id="2" name="Customer_ID"/>
    <tableColumn id="3" name="Customer_Name"/>
    <tableColumn id="4" name="Occupation"/>
    <tableColumn id="5" name="Declared_Monthly_Income"/>
    <tableColumn id="6" name="Transaction_Date"/>
    <tableColumn id="7" name="Channel"/>
    <tableColumn id="8" name="Amount"/>
    <tableColumn id="9" name="Credit_Debit_Flag"/>
    <tableColumn id="10" name="Counterparty_Name"/>
    <tableColumn id="11" name="Country"/>
    <tableColumn id="12" name="NEAR THRESHOLD"/>
    <tableColumn id="13" name="TURNOVER RATIO"/>
    <tableColumn id="14" name="Alert_Structuring"/>
    <tableColumn id="15" name="Alert_Mule"/>
    <tableColumn id="16" name="Alert_Dormant"/>
    <tableColumn id="17" name="Final_Risk_Rating"/>
    <tableColumn id="18" name="IsHighRisk"/>
    <tableColumn id="19" name="Txn_Day"/>
    <tableColumn id="20" name="Flag_Seq"/>
    <tableColumn id="21" name="Flag_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2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37.5" hidden="false" customHeight="true" outlineLevel="0" collapsed="false">
      <c r="B6" s="4" t="n">
        <f aca="false">COUNTA(Data!$A$2:$A$500)</f>
        <v>20</v>
      </c>
      <c r="C6" s="5" t="n">
        <f aca="false">SUM(Data!$R$2:$R$500)</f>
        <v>13</v>
      </c>
      <c r="D6" s="6" t="n">
        <f aca="false">SUMIFS(Data!$H$2:$H$500,Data!$R$2:$R$500,1)</f>
        <v>8147000</v>
      </c>
      <c r="E6" s="4" t="n">
        <f aca="false">ROUND(SUMPRODUCT((Data!$B$2:$B$500&lt;&gt;"")/COUNTIF(Data!$B$2:$B$500,Data!$B$2:$B$500&amp;"")),0)</f>
        <v>9</v>
      </c>
      <c r="F6" s="5" t="n">
        <f aca="false">ROUND(SUMPRODUCT((Data!$B$2:$B$500&lt;&gt;"")*(COUNTIFS(Data!$B$2:$B$500,Data!$B$2:$B$500&amp;"",Data!$R$2:$R$500,1)&gt;0)/COUNTIF(Data!$B$2:$B$500,Data!$B$2:$B$500&amp;"")),0)</f>
        <v>5</v>
      </c>
    </row>
    <row r="8" customFormat="false" ht="15" hidden="false" customHeight="false" outlineLevel="0" collapsed="false">
      <c r="B8" s="7" t="s">
        <v>7</v>
      </c>
      <c r="C8" s="7" t="s">
        <v>8</v>
      </c>
    </row>
    <row r="9" customFormat="false" ht="15" hidden="false" customHeight="false" outlineLevel="0" collapsed="false">
      <c r="B9" s="8" t="s">
        <v>9</v>
      </c>
      <c r="C9" s="8" t="n">
        <f aca="false">COUNTIF(Data!$N$2:$N$500,"ALERT*")</f>
        <v>6</v>
      </c>
    </row>
    <row r="10" customFormat="false" ht="15" hidden="false" customHeight="false" outlineLevel="0" collapsed="false">
      <c r="B10" s="8" t="s">
        <v>10</v>
      </c>
      <c r="C10" s="8" t="n">
        <f aca="false">COUNTIF(Data!$O$2:$O$500,"ALERT*")</f>
        <v>2</v>
      </c>
    </row>
    <row r="11" customFormat="false" ht="15" hidden="false" customHeight="false" outlineLevel="0" collapsed="false">
      <c r="B11" s="8" t="s">
        <v>11</v>
      </c>
      <c r="C11" s="8" t="n">
        <f aca="false">COUNTIF(Data!$P$2:$P$500,"ALERT*")</f>
        <v>2</v>
      </c>
    </row>
    <row r="14" customFormat="false" ht="15" hidden="false" customHeight="false" outlineLevel="0" collapsed="false">
      <c r="B14" s="9" t="s">
        <v>12</v>
      </c>
    </row>
    <row r="16" customFormat="false" ht="15" hidden="false" customHeight="false" outlineLevel="0" collapsed="false">
      <c r="B16" s="10" t="s">
        <v>13</v>
      </c>
    </row>
    <row r="34" customFormat="false" ht="15" hidden="false" customHeight="false" outlineLevel="0" collapsed="false">
      <c r="B34" s="10" t="s">
        <v>14</v>
      </c>
    </row>
    <row r="35" customFormat="false" ht="15" hidden="false" customHeight="false" outlineLevel="0" collapsed="false">
      <c r="B35" s="11" t="s">
        <v>15</v>
      </c>
      <c r="C35" s="11" t="s">
        <v>16</v>
      </c>
      <c r="D35" s="11" t="s">
        <v>17</v>
      </c>
      <c r="E35" s="11" t="s">
        <v>18</v>
      </c>
      <c r="F35" s="11" t="s">
        <v>19</v>
      </c>
      <c r="G35" s="11" t="s">
        <v>20</v>
      </c>
      <c r="H35" s="11" t="s">
        <v>21</v>
      </c>
    </row>
    <row r="36" customFormat="false" ht="15" hidden="false" customHeight="false" outlineLevel="0" collapsed="false">
      <c r="B36" s="12" t="s">
        <v>22</v>
      </c>
      <c r="C36" s="12" t="str">
        <f aca="false">INDEX(Data!$C$2:$C$500,MATCH(B36,Data!$B$2:$B$500,0))</f>
        <v>Aarav Sharma</v>
      </c>
      <c r="D36" s="13" t="n">
        <f aca="false">COUNTIF(Data!$B$2:$B$500,B36)</f>
        <v>2</v>
      </c>
      <c r="E36" s="13" t="n">
        <f aca="false">COUNTIFS(Data!$B$2:$B$500,B36,Data!$R$2:$R$500,1)</f>
        <v>0</v>
      </c>
      <c r="F36" s="14" t="n">
        <f aca="false">SUMIFS(Data!$H$2:$H$500,Data!$B$2:$B$500,B36,Data!$R$2:$R$500,1)</f>
        <v>0</v>
      </c>
      <c r="G36" s="15" t="n">
        <f aca="false">INDEX(Data!$M$2:$M$500,MATCH(B36,Data!$B$2:$B$500,0))</f>
        <v>0</v>
      </c>
      <c r="H36" s="13" t="str">
        <f aca="false">IF(E36&gt;0,"REVIEW / STR","Clear")</f>
        <v>Clear</v>
      </c>
    </row>
    <row r="37" customFormat="false" ht="15" hidden="false" customHeight="false" outlineLevel="0" collapsed="false">
      <c r="B37" s="12" t="s">
        <v>23</v>
      </c>
      <c r="C37" s="12" t="str">
        <f aca="false">INDEX(Data!$C$2:$C$500,MATCH(B37,Data!$B$2:$B$500,0))</f>
        <v>Vikram Malhotra</v>
      </c>
      <c r="D37" s="13" t="n">
        <f aca="false">COUNTIF(Data!$B$2:$B$500,B37)</f>
        <v>4</v>
      </c>
      <c r="E37" s="13" t="n">
        <f aca="false">COUNTIFS(Data!$B$2:$B$500,B37,Data!$R$2:$R$500,1)</f>
        <v>3</v>
      </c>
      <c r="F37" s="14" t="n">
        <f aca="false">SUMIFS(Data!$H$2:$H$500,Data!$B$2:$B$500,B37,Data!$R$2:$R$500,1)</f>
        <v>146500</v>
      </c>
      <c r="G37" s="15" t="n">
        <f aca="false">INDEX(Data!$M$2:$M$500,MATCH(B37,Data!$B$2:$B$500,0))</f>
        <v>1.3</v>
      </c>
      <c r="H37" s="13" t="str">
        <f aca="false">IF(E37&gt;0,"REVIEW / STR","Clear")</f>
        <v>REVIEW / STR</v>
      </c>
    </row>
    <row r="38" customFormat="false" ht="15" hidden="false" customHeight="false" outlineLevel="0" collapsed="false">
      <c r="B38" s="12" t="s">
        <v>24</v>
      </c>
      <c r="C38" s="12" t="str">
        <f aca="false">INDEX(Data!$C$2:$C$500,MATCH(B38,Data!$B$2:$B$500,0))</f>
        <v>Pooja Verma</v>
      </c>
      <c r="D38" s="13" t="n">
        <f aca="false">COUNTIF(Data!$B$2:$B$500,B38)</f>
        <v>2</v>
      </c>
      <c r="E38" s="13" t="n">
        <f aca="false">COUNTIFS(Data!$B$2:$B$500,B38,Data!$R$2:$R$500,1)</f>
        <v>2</v>
      </c>
      <c r="F38" s="14" t="n">
        <f aca="false">SUMIFS(Data!$H$2:$H$500,Data!$B$2:$B$500,B38,Data!$R$2:$R$500,1)</f>
        <v>2380000</v>
      </c>
      <c r="G38" s="15" t="n">
        <f aca="false">INDEX(Data!$M$2:$M$500,MATCH(B38,Data!$B$2:$B$500,0))</f>
        <v>80</v>
      </c>
      <c r="H38" s="13" t="str">
        <f aca="false">IF(E38&gt;0,"REVIEW / STR","Clear")</f>
        <v>REVIEW / STR</v>
      </c>
    </row>
    <row r="39" customFormat="false" ht="15" hidden="false" customHeight="false" outlineLevel="0" collapsed="false">
      <c r="B39" s="12" t="s">
        <v>25</v>
      </c>
      <c r="C39" s="12" t="str">
        <f aca="false">INDEX(Data!$C$2:$C$500,MATCH(B39,Data!$B$2:$B$500,0))</f>
        <v>Karan Mehra</v>
      </c>
      <c r="D39" s="13" t="n">
        <f aca="false">COUNTIF(Data!$B$2:$B$500,B39)</f>
        <v>3</v>
      </c>
      <c r="E39" s="13" t="n">
        <f aca="false">COUNTIFS(Data!$B$2:$B$500,B39,Data!$R$2:$R$500,1)</f>
        <v>3</v>
      </c>
      <c r="F39" s="14" t="n">
        <f aca="false">SUMIFS(Data!$H$2:$H$500,Data!$B$2:$B$500,B39,Data!$R$2:$R$500,1)</f>
        <v>3452000</v>
      </c>
      <c r="G39" s="15" t="n">
        <f aca="false">INDEX(Data!$M$2:$M$500,MATCH(B39,Data!$B$2:$B$500,0))</f>
        <v>62.5</v>
      </c>
      <c r="H39" s="13" t="str">
        <f aca="false">IF(E39&gt;0,"REVIEW / STR","Clear")</f>
        <v>REVIEW / STR</v>
      </c>
    </row>
    <row r="40" customFormat="false" ht="15" hidden="false" customHeight="false" outlineLevel="0" collapsed="false">
      <c r="B40" s="12" t="s">
        <v>26</v>
      </c>
      <c r="C40" s="12" t="str">
        <f aca="false">INDEX(Data!$C$2:$C$500,MATCH(B40,Data!$B$2:$B$500,0))</f>
        <v>Sneha Nair</v>
      </c>
      <c r="D40" s="13" t="n">
        <f aca="false">COUNTIF(Data!$B$2:$B$500,B40)</f>
        <v>2</v>
      </c>
      <c r="E40" s="13" t="n">
        <f aca="false">COUNTIFS(Data!$B$2:$B$500,B40,Data!$R$2:$R$500,1)</f>
        <v>0</v>
      </c>
      <c r="F40" s="14" t="n">
        <f aca="false">SUMIFS(Data!$H$2:$H$500,Data!$B$2:$B$500,B40,Data!$R$2:$R$500,1)</f>
        <v>0</v>
      </c>
      <c r="G40" s="15" t="n">
        <f aca="false">INDEX(Data!$M$2:$M$500,MATCH(B40,Data!$B$2:$B$500,0))</f>
        <v>0</v>
      </c>
      <c r="H40" s="13" t="str">
        <f aca="false">IF(E40&gt;0,"REVIEW / STR","Clear")</f>
        <v>Clear</v>
      </c>
    </row>
    <row r="41" customFormat="false" ht="15" hidden="false" customHeight="false" outlineLevel="0" collapsed="false">
      <c r="B41" s="12" t="s">
        <v>27</v>
      </c>
      <c r="C41" s="12" t="str">
        <f aca="false">INDEX(Data!$C$2:$C$500,MATCH(B41,Data!$B$2:$B$500,0))</f>
        <v>Rajesh Patel</v>
      </c>
      <c r="D41" s="13" t="n">
        <f aca="false">COUNTIF(Data!$B$2:$B$500,B41)</f>
        <v>2</v>
      </c>
      <c r="E41" s="13" t="n">
        <f aca="false">COUNTIFS(Data!$B$2:$B$500,B41,Data!$R$2:$R$500,1)</f>
        <v>2</v>
      </c>
      <c r="F41" s="14" t="n">
        <f aca="false">SUMIFS(Data!$H$2:$H$500,Data!$B$2:$B$500,B41,Data!$R$2:$R$500,1)</f>
        <v>1975000</v>
      </c>
      <c r="G41" s="15" t="n">
        <f aca="false">INDEX(Data!$M$2:$M$500,MATCH(B41,Data!$B$2:$B$500,0))</f>
        <v>6.58333333333333</v>
      </c>
      <c r="H41" s="13" t="str">
        <f aca="false">IF(E41&gt;0,"REVIEW / STR","Clear")</f>
        <v>REVIEW / STR</v>
      </c>
    </row>
    <row r="42" customFormat="false" ht="15" hidden="false" customHeight="false" outlineLevel="0" collapsed="false">
      <c r="B42" s="12" t="s">
        <v>28</v>
      </c>
      <c r="C42" s="12" t="str">
        <f aca="false">INDEX(Data!$C$2:$C$500,MATCH(B42,Data!$B$2:$B$500,0))</f>
        <v>Ananya Sen</v>
      </c>
      <c r="D42" s="13" t="n">
        <f aca="false">COUNTIF(Data!$B$2:$B$500,B42)</f>
        <v>1</v>
      </c>
      <c r="E42" s="13" t="n">
        <f aca="false">COUNTIFS(Data!$B$2:$B$500,B42,Data!$R$2:$R$500,1)</f>
        <v>0</v>
      </c>
      <c r="F42" s="14" t="n">
        <f aca="false">SUMIFS(Data!$H$2:$H$500,Data!$B$2:$B$500,B42,Data!$R$2:$R$500,1)</f>
        <v>0</v>
      </c>
      <c r="G42" s="15" t="n">
        <f aca="false">INDEX(Data!$M$2:$M$500,MATCH(B42,Data!$B$2:$B$500,0))</f>
        <v>0.916666666666667</v>
      </c>
      <c r="H42" s="13" t="str">
        <f aca="false">IF(E42&gt;0,"REVIEW / STR","Clear")</f>
        <v>Clear</v>
      </c>
    </row>
    <row r="43" customFormat="false" ht="15" hidden="false" customHeight="false" outlineLevel="0" collapsed="false">
      <c r="B43" s="12" t="s">
        <v>29</v>
      </c>
      <c r="C43" s="12" t="str">
        <f aca="false">INDEX(Data!$C$2:$C$500,MATCH(B43,Data!$B$2:$B$500,0))</f>
        <v>Imran Khan</v>
      </c>
      <c r="D43" s="13" t="n">
        <f aca="false">COUNTIF(Data!$B$2:$B$500,B43)</f>
        <v>3</v>
      </c>
      <c r="E43" s="13" t="n">
        <f aca="false">COUNTIFS(Data!$B$2:$B$500,B43,Data!$R$2:$R$500,1)</f>
        <v>3</v>
      </c>
      <c r="F43" s="14" t="n">
        <f aca="false">SUMIFS(Data!$H$2:$H$500,Data!$B$2:$B$500,B43,Data!$R$2:$R$500,1)</f>
        <v>193500</v>
      </c>
      <c r="G43" s="15" t="n">
        <f aca="false">INDEX(Data!$M$2:$M$500,MATCH(B43,Data!$B$2:$B$500,0))</f>
        <v>97500</v>
      </c>
      <c r="H43" s="13" t="str">
        <f aca="false">IF(E43&gt;0,"REVIEW / STR","Clear")</f>
        <v>REVIEW / STR</v>
      </c>
    </row>
    <row r="44" customFormat="false" ht="15" hidden="false" customHeight="false" outlineLevel="0" collapsed="false">
      <c r="B44" s="12" t="s">
        <v>30</v>
      </c>
      <c r="C44" s="12" t="str">
        <f aca="false">INDEX(Data!$C$2:$C$500,MATCH(B44,Data!$B$2:$B$500,0))</f>
        <v>Rohan Gupta</v>
      </c>
      <c r="D44" s="13" t="n">
        <f aca="false">COUNTIF(Data!$B$2:$B$500,B44)</f>
        <v>1</v>
      </c>
      <c r="E44" s="13" t="n">
        <f aca="false">COUNTIFS(Data!$B$2:$B$500,B44,Data!$R$2:$R$500,1)</f>
        <v>0</v>
      </c>
      <c r="F44" s="14" t="n">
        <f aca="false">SUMIFS(Data!$H$2:$H$500,Data!$B$2:$B$500,B44,Data!$R$2:$R$500,1)</f>
        <v>0</v>
      </c>
      <c r="G44" s="15" t="n">
        <f aca="false">INDEX(Data!$M$2:$M$500,MATCH(B44,Data!$B$2:$B$500,0))</f>
        <v>0</v>
      </c>
      <c r="H44" s="13" t="str">
        <f aca="false">IF(E44&gt;0,"REVIEW / STR","Clear")</f>
        <v>Clear</v>
      </c>
    </row>
  </sheetData>
  <conditionalFormatting sqref="B36:H44">
    <cfRule type="expression" priority="2" aboveAverage="0" equalAverage="0" bottom="0" percent="0" rank="0" text="" dxfId="0">
      <formula>$E36&gt;0</formula>
    </cfRule>
    <cfRule type="expression" priority="3" aboveAverage="0" equalAverage="0" bottom="0" percent="0" rank="0" text="" dxfId="1">
      <formula>$E36=0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3" min="12" style="0" width="12"/>
    <col collapsed="false" customWidth="true" hidden="false" outlineLevel="0" max="14" min="14" style="0" width="30"/>
    <col collapsed="false" customWidth="true" hidden="false" outlineLevel="0" max="15" min="15" style="0" width="26"/>
    <col collapsed="false" customWidth="true" hidden="false" outlineLevel="0" max="16" min="16" style="0" width="30"/>
    <col collapsed="false" customWidth="true" hidden="false" outlineLevel="0" max="17" min="17" style="0" width="2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14"/>
  </cols>
  <sheetData>
    <row r="1" customFormat="false" ht="31.5" hidden="false" customHeight="true" outlineLevel="0" collapsed="false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F1" s="16" t="s">
        <v>36</v>
      </c>
      <c r="G1" s="16" t="s">
        <v>37</v>
      </c>
      <c r="H1" s="16" t="s">
        <v>38</v>
      </c>
      <c r="I1" s="16" t="s">
        <v>39</v>
      </c>
      <c r="J1" s="16" t="s">
        <v>40</v>
      </c>
      <c r="K1" s="16" t="s">
        <v>41</v>
      </c>
      <c r="L1" s="16" t="s">
        <v>42</v>
      </c>
      <c r="M1" s="16" t="s">
        <v>43</v>
      </c>
      <c r="N1" s="16" t="s">
        <v>44</v>
      </c>
      <c r="O1" s="16" t="s">
        <v>45</v>
      </c>
      <c r="P1" s="16" t="s">
        <v>46</v>
      </c>
      <c r="Q1" s="16" t="s">
        <v>47</v>
      </c>
      <c r="R1" s="16" t="s">
        <v>48</v>
      </c>
      <c r="S1" s="16" t="s">
        <v>49</v>
      </c>
      <c r="T1" s="16" t="s">
        <v>50</v>
      </c>
      <c r="U1" s="16" t="s">
        <v>51</v>
      </c>
    </row>
    <row r="2" customFormat="false" ht="15" hidden="false" customHeight="false" outlineLevel="0" collapsed="false">
      <c r="A2" s="8" t="s">
        <v>52</v>
      </c>
      <c r="B2" s="8" t="s">
        <v>22</v>
      </c>
      <c r="C2" s="8" t="s">
        <v>53</v>
      </c>
      <c r="D2" s="8" t="s">
        <v>54</v>
      </c>
      <c r="E2" s="17" t="n">
        <v>75000</v>
      </c>
      <c r="F2" s="18" t="n">
        <v>46082.4270833333</v>
      </c>
      <c r="G2" s="8" t="s">
        <v>55</v>
      </c>
      <c r="H2" s="17" t="n">
        <v>25000</v>
      </c>
      <c r="I2" s="8" t="s">
        <v>56</v>
      </c>
      <c r="J2" s="8" t="s">
        <v>57</v>
      </c>
      <c r="K2" s="8" t="s">
        <v>58</v>
      </c>
      <c r="L2" s="8" t="n">
        <f aca="false">IF(AND(G2="Cash",I2="Credit",OR(AND(H2&gt;=45000,H2&lt;50000),AND(H2&gt;=900000,H2&lt;1000000))),1,0)</f>
        <v>0</v>
      </c>
      <c r="M2" s="19" t="n">
        <f aca="false">SUMIFS($H$2:$H$500,$B$2:$B$500,B2,$I$2:$I$500,"Credit")/MAX(E2,1)</f>
        <v>0</v>
      </c>
      <c r="N2" s="8" t="str">
        <f aca="false">IF(AND(L2=1,COUNTIFS($B$2:$B$500,B2,$G$2:$G$500,"Cash",$I$2:$I$500,"Credit",$L$2:$L$500,1,$F$2:$F$500,"&gt;="&amp;(INT(F2)-2),$F$2:$F$500,"&lt;="&amp;(INT(F2)+0.99999))&gt;=2),"ALERT: Structuring / Smurfing","NORMAL")</f>
        <v>NORMAL</v>
      </c>
      <c r="O2" s="8" t="str">
        <f aca="false">IF(I2="Debit",IF(H2&gt;=50000,IF(SUMIFS($H$2:$H$500,$B$2:$B$500,B2,$I$2:$I$500,"Credit",$F$2:$F$500,"&gt;="&amp;(F2-1),$F$2:$F$500,"&lt;="&amp;F2)&gt;0,IF((H2/SUMIFS($H$2:$H$500,$B$2:$B$500,B2,$I$2:$I$500,"Credit",$F$2:$F$500,"&gt;="&amp;(F2-1),$F$2:$F$500,"&lt;="&amp;F2))&gt;=0.95,"ALERT: Mule / Pass-Through","NORMAL"),"NORMAL"),"NORMAL"),"NORMAL")</f>
        <v>NORMAL</v>
      </c>
      <c r="P2" s="8" t="str">
        <f aca="false">IF(AND(I2="Credit",H2&gt;=1000000,COUNTIFS($B$2:$B$500,B2,$F$2:$F$500,"&gt;="&amp;(F2-180),$F$2:$F$500,"&lt;="&amp;(F2-1))=0),"ALERT: Dormant Velocity Surge","NORMAL")</f>
        <v>NORMAL</v>
      </c>
      <c r="Q2" s="8" t="str">
        <f aca="false">IF(OR(N2&lt;&gt;"NORMAL",O2&lt;&gt;"NORMAL",P2&lt;&gt;"NORMAL",M2&gt;=5),"HIGH RISK (FILE STR)","LOW RISK")</f>
        <v>LOW RISK</v>
      </c>
      <c r="R2" s="8" t="n">
        <f aca="false">IF(LEFT(Q2,4)="HIGH",1,0)</f>
        <v>0</v>
      </c>
      <c r="S2" s="20" t="n">
        <f aca="false">INT(F2)</f>
        <v>46082</v>
      </c>
      <c r="T2" s="8" t="n">
        <f aca="false">IF(R2=1,COUNTIFS($B$2:B2,B2,$R$2:R2,1),0)</f>
        <v>0</v>
      </c>
      <c r="U2" s="8" t="str">
        <f aca="false">IF(T2&gt;0,B2&amp;"|"&amp;T2,"")</f>
        <v/>
      </c>
    </row>
    <row r="3" customFormat="false" ht="15" hidden="false" customHeight="false" outlineLevel="0" collapsed="false">
      <c r="A3" s="8" t="s">
        <v>59</v>
      </c>
      <c r="B3" s="8" t="s">
        <v>22</v>
      </c>
      <c r="C3" s="8" t="s">
        <v>53</v>
      </c>
      <c r="D3" s="8" t="s">
        <v>54</v>
      </c>
      <c r="E3" s="17" t="n">
        <v>75000</v>
      </c>
      <c r="F3" s="18" t="n">
        <v>46086.7708333333</v>
      </c>
      <c r="G3" s="8" t="s">
        <v>55</v>
      </c>
      <c r="H3" s="17" t="n">
        <v>12000</v>
      </c>
      <c r="I3" s="8" t="s">
        <v>56</v>
      </c>
      <c r="J3" s="8" t="s">
        <v>60</v>
      </c>
      <c r="K3" s="8" t="s">
        <v>58</v>
      </c>
      <c r="L3" s="8" t="n">
        <f aca="false">IF(AND(G3="Cash",I3="Credit",OR(AND(H3&gt;=45000,H3&lt;50000),AND(H3&gt;=900000,H3&lt;1000000))),1,0)</f>
        <v>0</v>
      </c>
      <c r="M3" s="19" t="n">
        <f aca="false">SUMIFS($H$2:$H$500,$B$2:$B$500,B3,$I$2:$I$500,"Credit")/MAX(E3,1)</f>
        <v>0</v>
      </c>
      <c r="N3" s="8" t="str">
        <f aca="false">IF(AND(L3=1,COUNTIFS($B$2:$B$500,B3,$G$2:$G$500,"Cash",$I$2:$I$500,"Credit",$L$2:$L$500,1,$F$2:$F$500,"&gt;="&amp;(INT(F3)-2),$F$2:$F$500,"&lt;="&amp;(INT(F3)+0.99999))&gt;=2),"ALERT: Structuring / Smurfing","NORMAL")</f>
        <v>NORMAL</v>
      </c>
      <c r="O3" s="8" t="str">
        <f aca="false">IF(I3="Debit",IF(H3&gt;=50000,IF(SUMIFS($H$2:$H$500,$B$2:$B$500,B3,$I$2:$I$500,"Credit",$F$2:$F$500,"&gt;="&amp;(F3-1),$F$2:$F$500,"&lt;="&amp;F3)&gt;0,IF((H3/SUMIFS($H$2:$H$500,$B$2:$B$500,B3,$I$2:$I$500,"Credit",$F$2:$F$500,"&gt;="&amp;(F3-1),$F$2:$F$500,"&lt;="&amp;F3))&gt;=0.95,"ALERT: Mule / Pass-Through","NORMAL"),"NORMAL"),"NORMAL"),"NORMAL")</f>
        <v>NORMAL</v>
      </c>
      <c r="P3" s="8" t="str">
        <f aca="false">IF(AND(I3="Credit",H3&gt;=1000000,COUNTIFS($B$2:$B$500,B3,$F$2:$F$500,"&gt;="&amp;(F3-180),$F$2:$F$500,"&lt;="&amp;(F3-1))=0),"ALERT: Dormant Velocity Surge","NORMAL")</f>
        <v>NORMAL</v>
      </c>
      <c r="Q3" s="8" t="str">
        <f aca="false">IF(OR(N3&lt;&gt;"NORMAL",O3&lt;&gt;"NORMAL",P3&lt;&gt;"NORMAL",M3&gt;=5),"HIGH RISK (FILE STR)","LOW RISK")</f>
        <v>LOW RISK</v>
      </c>
      <c r="R3" s="8" t="n">
        <f aca="false">IF(LEFT(Q3,4)="HIGH",1,0)</f>
        <v>0</v>
      </c>
      <c r="S3" s="20" t="n">
        <f aca="false">INT(F3)</f>
        <v>46086</v>
      </c>
      <c r="T3" s="8" t="n">
        <f aca="false">IF(R3=1,COUNTIFS($B$2:B3,B3,$R$2:R3,1),0)</f>
        <v>0</v>
      </c>
      <c r="U3" s="8" t="str">
        <f aca="false">IF(T3&gt;0,B3&amp;"|"&amp;T3,"")</f>
        <v/>
      </c>
    </row>
    <row r="4" customFormat="false" ht="15" hidden="false" customHeight="false" outlineLevel="0" collapsed="false">
      <c r="A4" s="8" t="s">
        <v>61</v>
      </c>
      <c r="B4" s="8" t="s">
        <v>23</v>
      </c>
      <c r="C4" s="8" t="s">
        <v>62</v>
      </c>
      <c r="D4" s="8" t="s">
        <v>63</v>
      </c>
      <c r="E4" s="17" t="n">
        <v>150000</v>
      </c>
      <c r="F4" s="18" t="n">
        <v>46083.4583333333</v>
      </c>
      <c r="G4" s="8" t="s">
        <v>64</v>
      </c>
      <c r="H4" s="17" t="n">
        <v>48500</v>
      </c>
      <c r="I4" s="8" t="s">
        <v>65</v>
      </c>
      <c r="J4" s="8" t="s">
        <v>66</v>
      </c>
      <c r="K4" s="8" t="s">
        <v>58</v>
      </c>
      <c r="L4" s="8" t="n">
        <f aca="false">IF(AND(G4="Cash",I4="Credit",OR(AND(H4&gt;=45000,H4&lt;50000),AND(H4&gt;=900000,H4&lt;1000000))),1,0)</f>
        <v>1</v>
      </c>
      <c r="M4" s="19" t="n">
        <f aca="false">SUMIFS($H$2:$H$500,$B$2:$B$500,B4,$I$2:$I$500,"Credit")/MAX(E4,1)</f>
        <v>1.3</v>
      </c>
      <c r="N4" s="8" t="str">
        <f aca="false">IF(AND(L4=1,COUNTIFS($B$2:$B$500,B4,$G$2:$G$500,"Cash",$I$2:$I$500,"Credit",$L$2:$L$500,1,$F$2:$F$500,"&gt;="&amp;(INT(F4)-2),$F$2:$F$500,"&lt;="&amp;(INT(F4)+0.99999))&gt;=2),"ALERT: Structuring / Smurfing","NORMAL")</f>
        <v>NORMAL</v>
      </c>
      <c r="O4" s="8" t="str">
        <f aca="false">IF(I4="Debit",IF(H4&gt;=50000,IF(SUMIFS($H$2:$H$500,$B$2:$B$500,B4,$I$2:$I$500,"Credit",$F$2:$F$500,"&gt;="&amp;(F4-1),$F$2:$F$500,"&lt;="&amp;F4)&gt;0,IF((H4/SUMIFS($H$2:$H$500,$B$2:$B$500,B4,$I$2:$I$500,"Credit",$F$2:$F$500,"&gt;="&amp;(F4-1),$F$2:$F$500,"&lt;="&amp;F4))&gt;=0.95,"ALERT: Mule / Pass-Through","NORMAL"),"NORMAL"),"NORMAL"),"NORMAL")</f>
        <v>NORMAL</v>
      </c>
      <c r="P4" s="8" t="str">
        <f aca="false">IF(AND(I4="Credit",H4&gt;=1000000,COUNTIFS($B$2:$B$500,B4,$F$2:$F$500,"&gt;="&amp;(F4-180),$F$2:$F$500,"&lt;="&amp;(F4-1))=0),"ALERT: Dormant Velocity Surge","NORMAL")</f>
        <v>NORMAL</v>
      </c>
      <c r="Q4" s="8" t="str">
        <f aca="false">IF(OR(N4&lt;&gt;"NORMAL",O4&lt;&gt;"NORMAL",P4&lt;&gt;"NORMAL",M4&gt;=5),"HIGH RISK (FILE STR)","LOW RISK")</f>
        <v>LOW RISK</v>
      </c>
      <c r="R4" s="8" t="n">
        <f aca="false">IF(LEFT(Q4,4)="HIGH",1,0)</f>
        <v>0</v>
      </c>
      <c r="S4" s="20" t="n">
        <f aca="false">INT(F4)</f>
        <v>46083</v>
      </c>
      <c r="T4" s="8" t="n">
        <f aca="false">IF(R4=1,COUNTIFS($B$2:B4,B4,$R$2:R4,1),0)</f>
        <v>0</v>
      </c>
      <c r="U4" s="8" t="str">
        <f aca="false">IF(T4&gt;0,B4&amp;"|"&amp;T4,"")</f>
        <v/>
      </c>
    </row>
    <row r="5" customFormat="false" ht="15" hidden="false" customHeight="false" outlineLevel="0" collapsed="false">
      <c r="A5" s="8" t="s">
        <v>67</v>
      </c>
      <c r="B5" s="8" t="s">
        <v>23</v>
      </c>
      <c r="C5" s="8" t="s">
        <v>62</v>
      </c>
      <c r="D5" s="8" t="s">
        <v>63</v>
      </c>
      <c r="E5" s="17" t="n">
        <v>150000</v>
      </c>
      <c r="F5" s="18" t="n">
        <v>46084.5972222222</v>
      </c>
      <c r="G5" s="8" t="s">
        <v>64</v>
      </c>
      <c r="H5" s="17" t="n">
        <v>49000</v>
      </c>
      <c r="I5" s="8" t="s">
        <v>65</v>
      </c>
      <c r="J5" s="8" t="s">
        <v>66</v>
      </c>
      <c r="K5" s="8" t="s">
        <v>58</v>
      </c>
      <c r="L5" s="8" t="n">
        <f aca="false">IF(AND(G5="Cash",I5="Credit",OR(AND(H5&gt;=45000,H5&lt;50000),AND(H5&gt;=900000,H5&lt;1000000))),1,0)</f>
        <v>1</v>
      </c>
      <c r="M5" s="19" t="n">
        <f aca="false">SUMIFS($H$2:$H$500,$B$2:$B$500,B5,$I$2:$I$500,"Credit")/MAX(E5,1)</f>
        <v>1.3</v>
      </c>
      <c r="N5" s="8" t="str">
        <f aca="false">IF(AND(L5=1,COUNTIFS($B$2:$B$500,B5,$G$2:$G$500,"Cash",$I$2:$I$500,"Credit",$L$2:$L$500,1,$F$2:$F$500,"&gt;="&amp;(INT(F5)-2),$F$2:$F$500,"&lt;="&amp;(INT(F5)+0.99999))&gt;=2),"ALERT: Structuring / Smurfing","NORMAL")</f>
        <v>ALERT: Structuring / Smurfing</v>
      </c>
      <c r="O5" s="8" t="str">
        <f aca="false">IF(I5="Debit",IF(H5&gt;=50000,IF(SUMIFS($H$2:$H$500,$B$2:$B$500,B5,$I$2:$I$500,"Credit",$F$2:$F$500,"&gt;="&amp;(F5-1),$F$2:$F$500,"&lt;="&amp;F5)&gt;0,IF((H5/SUMIFS($H$2:$H$500,$B$2:$B$500,B5,$I$2:$I$500,"Credit",$F$2:$F$500,"&gt;="&amp;(F5-1),$F$2:$F$500,"&lt;="&amp;F5))&gt;=0.95,"ALERT: Mule / Pass-Through","NORMAL"),"NORMAL"),"NORMAL"),"NORMAL")</f>
        <v>NORMAL</v>
      </c>
      <c r="P5" s="8" t="str">
        <f aca="false">IF(AND(I5="Credit",H5&gt;=1000000,COUNTIFS($B$2:$B$500,B5,$F$2:$F$500,"&gt;="&amp;(F5-180),$F$2:$F$500,"&lt;="&amp;(F5-1))=0),"ALERT: Dormant Velocity Surge","NORMAL")</f>
        <v>NORMAL</v>
      </c>
      <c r="Q5" s="8" t="str">
        <f aca="false">IF(OR(N5&lt;&gt;"NORMAL",O5&lt;&gt;"NORMAL",P5&lt;&gt;"NORMAL",M5&gt;=5),"HIGH RISK (FILE STR)","LOW RISK")</f>
        <v>HIGH RISK (FILE STR)</v>
      </c>
      <c r="R5" s="8" t="n">
        <f aca="false">IF(LEFT(Q5,4)="HIGH",1,0)</f>
        <v>1</v>
      </c>
      <c r="S5" s="20" t="n">
        <f aca="false">INT(F5)</f>
        <v>46084</v>
      </c>
      <c r="T5" s="8" t="n">
        <f aca="false">IF(R5=1,COUNTIFS($B$2:B5,B5,$R$2:R5,1),0)</f>
        <v>1</v>
      </c>
      <c r="U5" s="8" t="str">
        <f aca="false">IF(T5&gt;0,B5&amp;"|"&amp;T5,"")</f>
        <v>CUST02|1</v>
      </c>
    </row>
    <row r="6" customFormat="false" ht="15" hidden="false" customHeight="false" outlineLevel="0" collapsed="false">
      <c r="A6" s="8" t="s">
        <v>68</v>
      </c>
      <c r="B6" s="8" t="s">
        <v>23</v>
      </c>
      <c r="C6" s="8" t="s">
        <v>62</v>
      </c>
      <c r="D6" s="8" t="s">
        <v>63</v>
      </c>
      <c r="E6" s="17" t="n">
        <v>150000</v>
      </c>
      <c r="F6" s="18" t="n">
        <v>46085.40625</v>
      </c>
      <c r="G6" s="8" t="s">
        <v>64</v>
      </c>
      <c r="H6" s="17" t="n">
        <v>48000</v>
      </c>
      <c r="I6" s="8" t="s">
        <v>65</v>
      </c>
      <c r="J6" s="8" t="s">
        <v>66</v>
      </c>
      <c r="K6" s="8" t="s">
        <v>58</v>
      </c>
      <c r="L6" s="8" t="n">
        <f aca="false">IF(AND(G6="Cash",I6="Credit",OR(AND(H6&gt;=45000,H6&lt;50000),AND(H6&gt;=900000,H6&lt;1000000))),1,0)</f>
        <v>1</v>
      </c>
      <c r="M6" s="19" t="n">
        <f aca="false">SUMIFS($H$2:$H$500,$B$2:$B$500,B6,$I$2:$I$500,"Credit")/MAX(E6,1)</f>
        <v>1.3</v>
      </c>
      <c r="N6" s="8" t="str">
        <f aca="false">IF(AND(L6=1,COUNTIFS($B$2:$B$500,B6,$G$2:$G$500,"Cash",$I$2:$I$500,"Credit",$L$2:$L$500,1,$F$2:$F$500,"&gt;="&amp;(INT(F6)-2),$F$2:$F$500,"&lt;="&amp;(INT(F6)+0.99999))&gt;=2),"ALERT: Structuring / Smurfing","NORMAL")</f>
        <v>ALERT: Structuring / Smurfing</v>
      </c>
      <c r="O6" s="8" t="str">
        <f aca="false">IF(I6="Debit",IF(H6&gt;=50000,IF(SUMIFS($H$2:$H$500,$B$2:$B$500,B6,$I$2:$I$500,"Credit",$F$2:$F$500,"&gt;="&amp;(F6-1),$F$2:$F$500,"&lt;="&amp;F6)&gt;0,IF((H6/SUMIFS($H$2:$H$500,$B$2:$B$500,B6,$I$2:$I$500,"Credit",$F$2:$F$500,"&gt;="&amp;(F6-1),$F$2:$F$500,"&lt;="&amp;F6))&gt;=0.95,"ALERT: Mule / Pass-Through","NORMAL"),"NORMAL"),"NORMAL"),"NORMAL")</f>
        <v>NORMAL</v>
      </c>
      <c r="P6" s="8" t="str">
        <f aca="false">IF(AND(I6="Credit",H6&gt;=1000000,COUNTIFS($B$2:$B$500,B6,$F$2:$F$500,"&gt;="&amp;(F6-180),$F$2:$F$500,"&lt;="&amp;(F6-1))=0),"ALERT: Dormant Velocity Surge","NORMAL")</f>
        <v>NORMAL</v>
      </c>
      <c r="Q6" s="8" t="str">
        <f aca="false">IF(OR(N6&lt;&gt;"NORMAL",O6&lt;&gt;"NORMAL",P6&lt;&gt;"NORMAL",M6&gt;=5),"HIGH RISK (FILE STR)","LOW RISK")</f>
        <v>HIGH RISK (FILE STR)</v>
      </c>
      <c r="R6" s="8" t="n">
        <f aca="false">IF(LEFT(Q6,4)="HIGH",1,0)</f>
        <v>1</v>
      </c>
      <c r="S6" s="20" t="n">
        <f aca="false">INT(F6)</f>
        <v>46085</v>
      </c>
      <c r="T6" s="8" t="n">
        <f aca="false">IF(R6=1,COUNTIFS($B$2:B6,B6,$R$2:R6,1),0)</f>
        <v>2</v>
      </c>
      <c r="U6" s="8" t="str">
        <f aca="false">IF(T6&gt;0,B6&amp;"|"&amp;T6,"")</f>
        <v>CUST02|2</v>
      </c>
    </row>
    <row r="7" customFormat="false" ht="15" hidden="false" customHeight="false" outlineLevel="0" collapsed="false">
      <c r="A7" s="8" t="s">
        <v>69</v>
      </c>
      <c r="B7" s="8" t="s">
        <v>23</v>
      </c>
      <c r="C7" s="8" t="s">
        <v>62</v>
      </c>
      <c r="D7" s="8" t="s">
        <v>63</v>
      </c>
      <c r="E7" s="17" t="n">
        <v>150000</v>
      </c>
      <c r="F7" s="18" t="n">
        <v>46086.6736111111</v>
      </c>
      <c r="G7" s="8" t="s">
        <v>64</v>
      </c>
      <c r="H7" s="17" t="n">
        <v>49500</v>
      </c>
      <c r="I7" s="8" t="s">
        <v>65</v>
      </c>
      <c r="J7" s="8" t="s">
        <v>66</v>
      </c>
      <c r="K7" s="8" t="s">
        <v>58</v>
      </c>
      <c r="L7" s="8" t="n">
        <f aca="false">IF(AND(G7="Cash",I7="Credit",OR(AND(H7&gt;=45000,H7&lt;50000),AND(H7&gt;=900000,H7&lt;1000000))),1,0)</f>
        <v>1</v>
      </c>
      <c r="M7" s="19" t="n">
        <f aca="false">SUMIFS($H$2:$H$500,$B$2:$B$500,B7,$I$2:$I$500,"Credit")/MAX(E7,1)</f>
        <v>1.3</v>
      </c>
      <c r="N7" s="8" t="str">
        <f aca="false">IF(AND(L7=1,COUNTIFS($B$2:$B$500,B7,$G$2:$G$500,"Cash",$I$2:$I$500,"Credit",$L$2:$L$500,1,$F$2:$F$500,"&gt;="&amp;(INT(F7)-2),$F$2:$F$500,"&lt;="&amp;(INT(F7)+0.99999))&gt;=2),"ALERT: Structuring / Smurfing","NORMAL")</f>
        <v>ALERT: Structuring / Smurfing</v>
      </c>
      <c r="O7" s="8" t="str">
        <f aca="false">IF(I7="Debit",IF(H7&gt;=50000,IF(SUMIFS($H$2:$H$500,$B$2:$B$500,B7,$I$2:$I$500,"Credit",$F$2:$F$500,"&gt;="&amp;(F7-1),$F$2:$F$500,"&lt;="&amp;F7)&gt;0,IF((H7/SUMIFS($H$2:$H$500,$B$2:$B$500,B7,$I$2:$I$500,"Credit",$F$2:$F$500,"&gt;="&amp;(F7-1),$F$2:$F$500,"&lt;="&amp;F7))&gt;=0.95,"ALERT: Mule / Pass-Through","NORMAL"),"NORMAL"),"NORMAL"),"NORMAL")</f>
        <v>NORMAL</v>
      </c>
      <c r="P7" s="8" t="str">
        <f aca="false">IF(AND(I7="Credit",H7&gt;=1000000,COUNTIFS($B$2:$B$500,B7,$F$2:$F$500,"&gt;="&amp;(F7-180),$F$2:$F$500,"&lt;="&amp;(F7-1))=0),"ALERT: Dormant Velocity Surge","NORMAL")</f>
        <v>NORMAL</v>
      </c>
      <c r="Q7" s="8" t="str">
        <f aca="false">IF(OR(N7&lt;&gt;"NORMAL",O7&lt;&gt;"NORMAL",P7&lt;&gt;"NORMAL",M7&gt;=5),"HIGH RISK (FILE STR)","LOW RISK")</f>
        <v>HIGH RISK (FILE STR)</v>
      </c>
      <c r="R7" s="8" t="n">
        <f aca="false">IF(LEFT(Q7,4)="HIGH",1,0)</f>
        <v>1</v>
      </c>
      <c r="S7" s="20" t="n">
        <f aca="false">INT(F7)</f>
        <v>46086</v>
      </c>
      <c r="T7" s="8" t="n">
        <f aca="false">IF(R7=1,COUNTIFS($B$2:B7,B7,$R$2:R7,1),0)</f>
        <v>3</v>
      </c>
      <c r="U7" s="8" t="str">
        <f aca="false">IF(T7&gt;0,B7&amp;"|"&amp;T7,"")</f>
        <v>CUST02|3</v>
      </c>
    </row>
    <row r="8" customFormat="false" ht="15" hidden="false" customHeight="false" outlineLevel="0" collapsed="false">
      <c r="A8" s="8" t="s">
        <v>70</v>
      </c>
      <c r="B8" s="8" t="s">
        <v>24</v>
      </c>
      <c r="C8" s="8" t="s">
        <v>71</v>
      </c>
      <c r="D8" s="8" t="s">
        <v>72</v>
      </c>
      <c r="E8" s="17" t="n">
        <v>15000</v>
      </c>
      <c r="F8" s="18" t="n">
        <v>46087.4166666667</v>
      </c>
      <c r="G8" s="8" t="s">
        <v>73</v>
      </c>
      <c r="H8" s="17" t="n">
        <v>1200000</v>
      </c>
      <c r="I8" s="8" t="s">
        <v>65</v>
      </c>
      <c r="J8" s="8" t="s">
        <v>74</v>
      </c>
      <c r="K8" s="8" t="s">
        <v>75</v>
      </c>
      <c r="L8" s="8" t="n">
        <f aca="false">IF(AND(G8="Cash",I8="Credit",OR(AND(H8&gt;=45000,H8&lt;50000),AND(H8&gt;=900000,H8&lt;1000000))),1,0)</f>
        <v>0</v>
      </c>
      <c r="M8" s="19" t="n">
        <f aca="false">SUMIFS($H$2:$H$500,$B$2:$B$500,B8,$I$2:$I$500,"Credit")/MAX(E8,1)</f>
        <v>80</v>
      </c>
      <c r="N8" s="8" t="str">
        <f aca="false">IF(AND(L8=1,COUNTIFS($B$2:$B$500,B8,$G$2:$G$500,"Cash",$I$2:$I$500,"Credit",$L$2:$L$500,1,$F$2:$F$500,"&gt;="&amp;(INT(F8)-2),$F$2:$F$500,"&lt;="&amp;(INT(F8)+0.99999))&gt;=2),"ALERT: Structuring / Smurfing","NORMAL")</f>
        <v>NORMAL</v>
      </c>
      <c r="O8" s="8" t="str">
        <f aca="false">IF(I8="Debit",IF(H8&gt;=50000,IF(SUMIFS($H$2:$H$500,$B$2:$B$500,B8,$I$2:$I$500,"Credit",$F$2:$F$500,"&gt;="&amp;(F8-1),$F$2:$F$500,"&lt;="&amp;F8)&gt;0,IF((H8/SUMIFS($H$2:$H$500,$B$2:$B$500,B8,$I$2:$I$500,"Credit",$F$2:$F$500,"&gt;="&amp;(F8-1),$F$2:$F$500,"&lt;="&amp;F8))&gt;=0.95,"ALERT: Mule / Pass-Through","NORMAL"),"NORMAL"),"NORMAL"),"NORMAL")</f>
        <v>NORMAL</v>
      </c>
      <c r="P8" s="8" t="str">
        <f aca="false">IF(AND(I8="Credit",H8&gt;=1000000,COUNTIFS($B$2:$B$500,B8,$F$2:$F$500,"&gt;="&amp;(F8-180),$F$2:$F$500,"&lt;="&amp;(F8-1))=0),"ALERT: Dormant Velocity Surge","NORMAL")</f>
        <v>ALERT: Dormant Velocity Surge</v>
      </c>
      <c r="Q8" s="8" t="str">
        <f aca="false">IF(OR(N8&lt;&gt;"NORMAL",O8&lt;&gt;"NORMAL",P8&lt;&gt;"NORMAL",M8&gt;=5),"HIGH RISK (FILE STR)","LOW RISK")</f>
        <v>HIGH RISK (FILE STR)</v>
      </c>
      <c r="R8" s="8" t="n">
        <f aca="false">IF(LEFT(Q8,4)="HIGH",1,0)</f>
        <v>1</v>
      </c>
      <c r="S8" s="20" t="n">
        <f aca="false">INT(F8)</f>
        <v>46087</v>
      </c>
      <c r="T8" s="8" t="n">
        <f aca="false">IF(R8=1,COUNTIFS($B$2:B8,B8,$R$2:R8,1),0)</f>
        <v>1</v>
      </c>
      <c r="U8" s="8" t="str">
        <f aca="false">IF(T8&gt;0,B8&amp;"|"&amp;T8,"")</f>
        <v>CUST03|1</v>
      </c>
    </row>
    <row r="9" customFormat="false" ht="15" hidden="false" customHeight="false" outlineLevel="0" collapsed="false">
      <c r="A9" s="8" t="s">
        <v>76</v>
      </c>
      <c r="B9" s="8" t="s">
        <v>24</v>
      </c>
      <c r="C9" s="8" t="s">
        <v>71</v>
      </c>
      <c r="D9" s="8" t="s">
        <v>72</v>
      </c>
      <c r="E9" s="17" t="n">
        <v>15000</v>
      </c>
      <c r="F9" s="18" t="n">
        <v>46087.59375</v>
      </c>
      <c r="G9" s="8" t="s">
        <v>77</v>
      </c>
      <c r="H9" s="17" t="n">
        <v>1180000</v>
      </c>
      <c r="I9" s="8" t="s">
        <v>56</v>
      </c>
      <c r="J9" s="8" t="s">
        <v>78</v>
      </c>
      <c r="K9" s="8" t="s">
        <v>79</v>
      </c>
      <c r="L9" s="8" t="n">
        <f aca="false">IF(AND(G9="Cash",I9="Credit",OR(AND(H9&gt;=45000,H9&lt;50000),AND(H9&gt;=900000,H9&lt;1000000))),1,0)</f>
        <v>0</v>
      </c>
      <c r="M9" s="19" t="n">
        <f aca="false">SUMIFS($H$2:$H$500,$B$2:$B$500,B9,$I$2:$I$500,"Credit")/MAX(E9,1)</f>
        <v>80</v>
      </c>
      <c r="N9" s="8" t="str">
        <f aca="false">IF(AND(L9=1,COUNTIFS($B$2:$B$500,B9,$G$2:$G$500,"Cash",$I$2:$I$500,"Credit",$L$2:$L$500,1,$F$2:$F$500,"&gt;="&amp;(INT(F9)-2),$F$2:$F$500,"&lt;="&amp;(INT(F9)+0.99999))&gt;=2),"ALERT: Structuring / Smurfing","NORMAL")</f>
        <v>NORMAL</v>
      </c>
      <c r="O9" s="8" t="str">
        <f aca="false">IF(I9="Debit",IF(H9&gt;=50000,IF(SUMIFS($H$2:$H$500,$B$2:$B$500,B9,$I$2:$I$500,"Credit",$F$2:$F$500,"&gt;="&amp;(F9-1),$F$2:$F$500,"&lt;="&amp;F9)&gt;0,IF((H9/SUMIFS($H$2:$H$500,$B$2:$B$500,B9,$I$2:$I$500,"Credit",$F$2:$F$500,"&gt;="&amp;(F9-1),$F$2:$F$500,"&lt;="&amp;F9))&gt;=0.95,"ALERT: Mule / Pass-Through","NORMAL"),"NORMAL"),"NORMAL"),"NORMAL")</f>
        <v>ALERT: Mule / Pass-Through</v>
      </c>
      <c r="P9" s="8" t="str">
        <f aca="false">IF(AND(I9="Credit",H9&gt;=1000000,COUNTIFS($B$2:$B$500,B9,$F$2:$F$500,"&gt;="&amp;(F9-180),$F$2:$F$500,"&lt;="&amp;(F9-1))=0),"ALERT: Dormant Velocity Surge","NORMAL")</f>
        <v>NORMAL</v>
      </c>
      <c r="Q9" s="8" t="str">
        <f aca="false">IF(OR(N9&lt;&gt;"NORMAL",O9&lt;&gt;"NORMAL",P9&lt;&gt;"NORMAL",M9&gt;=5),"HIGH RISK (FILE STR)","LOW RISK")</f>
        <v>HIGH RISK (FILE STR)</v>
      </c>
      <c r="R9" s="8" t="n">
        <f aca="false">IF(LEFT(Q9,4)="HIGH",1,0)</f>
        <v>1</v>
      </c>
      <c r="S9" s="20" t="n">
        <f aca="false">INT(F9)</f>
        <v>46087</v>
      </c>
      <c r="T9" s="8" t="n">
        <f aca="false">IF(R9=1,COUNTIFS($B$2:B9,B9,$R$2:R9,1),0)</f>
        <v>2</v>
      </c>
      <c r="U9" s="8" t="str">
        <f aca="false">IF(T9&gt;0,B9&amp;"|"&amp;T9,"")</f>
        <v>CUST03|2</v>
      </c>
    </row>
    <row r="10" customFormat="false" ht="15" hidden="false" customHeight="false" outlineLevel="0" collapsed="false">
      <c r="A10" s="8" t="s">
        <v>80</v>
      </c>
      <c r="B10" s="8" t="s">
        <v>25</v>
      </c>
      <c r="C10" s="8" t="s">
        <v>81</v>
      </c>
      <c r="D10" s="8" t="s">
        <v>82</v>
      </c>
      <c r="E10" s="17" t="n">
        <v>40000</v>
      </c>
      <c r="F10" s="18" t="n">
        <v>45879.4791666667</v>
      </c>
      <c r="G10" s="8" t="s">
        <v>55</v>
      </c>
      <c r="H10" s="17" t="n">
        <v>2000</v>
      </c>
      <c r="I10" s="8" t="s">
        <v>56</v>
      </c>
      <c r="J10" s="8" t="s">
        <v>83</v>
      </c>
      <c r="K10" s="8" t="s">
        <v>58</v>
      </c>
      <c r="L10" s="8" t="n">
        <f aca="false">IF(AND(G10="Cash",I10="Credit",OR(AND(H10&gt;=45000,H10&lt;50000),AND(H10&gt;=900000,H10&lt;1000000))),1,0)</f>
        <v>0</v>
      </c>
      <c r="M10" s="19" t="n">
        <f aca="false">SUMIFS($H$2:$H$500,$B$2:$B$500,B10,$I$2:$I$500,"Credit")/MAX(E10,1)</f>
        <v>62.5</v>
      </c>
      <c r="N10" s="8" t="str">
        <f aca="false">IF(AND(L10=1,COUNTIFS($B$2:$B$500,B10,$G$2:$G$500,"Cash",$I$2:$I$500,"Credit",$L$2:$L$500,1,$F$2:$F$500,"&gt;="&amp;(INT(F10)-2),$F$2:$F$500,"&lt;="&amp;(INT(F10)+0.99999))&gt;=2),"ALERT: Structuring / Smurfing","NORMAL")</f>
        <v>NORMAL</v>
      </c>
      <c r="O10" s="8" t="str">
        <f aca="false">IF(I10="Debit",IF(H10&gt;=50000,IF(SUMIFS($H$2:$H$500,$B$2:$B$500,B10,$I$2:$I$500,"Credit",$F$2:$F$500,"&gt;="&amp;(F10-1),$F$2:$F$500,"&lt;="&amp;F10)&gt;0,IF((H10/SUMIFS($H$2:$H$500,$B$2:$B$500,B10,$I$2:$I$500,"Credit",$F$2:$F$500,"&gt;="&amp;(F10-1),$F$2:$F$500,"&lt;="&amp;F10))&gt;=0.95,"ALERT: Mule / Pass-Through","NORMAL"),"NORMAL"),"NORMAL"),"NORMAL")</f>
        <v>NORMAL</v>
      </c>
      <c r="P10" s="8" t="str">
        <f aca="false">IF(AND(I10="Credit",H10&gt;=1000000,COUNTIFS($B$2:$B$500,B10,$F$2:$F$500,"&gt;="&amp;(F10-180),$F$2:$F$500,"&lt;="&amp;(F10-1))=0),"ALERT: Dormant Velocity Surge","NORMAL")</f>
        <v>NORMAL</v>
      </c>
      <c r="Q10" s="8" t="str">
        <f aca="false">IF(OR(N10&lt;&gt;"NORMAL",O10&lt;&gt;"NORMAL",P10&lt;&gt;"NORMAL",M10&gt;=5),"HIGH RISK (FILE STR)","LOW RISK")</f>
        <v>HIGH RISK (FILE STR)</v>
      </c>
      <c r="R10" s="8" t="n">
        <f aca="false">IF(LEFT(Q10,4)="HIGH",1,0)</f>
        <v>1</v>
      </c>
      <c r="S10" s="20" t="n">
        <f aca="false">INT(F10)</f>
        <v>45879</v>
      </c>
      <c r="T10" s="8" t="n">
        <f aca="false">IF(R10=1,COUNTIFS($B$2:B10,B10,$R$2:R10,1),0)</f>
        <v>1</v>
      </c>
      <c r="U10" s="8" t="str">
        <f aca="false">IF(T10&gt;0,B10&amp;"|"&amp;T10,"")</f>
        <v>CUST04|1</v>
      </c>
    </row>
    <row r="11" customFormat="false" ht="15" hidden="false" customHeight="false" outlineLevel="0" collapsed="false">
      <c r="A11" s="8" t="s">
        <v>84</v>
      </c>
      <c r="B11" s="8" t="s">
        <v>25</v>
      </c>
      <c r="C11" s="8" t="s">
        <v>81</v>
      </c>
      <c r="D11" s="8" t="s">
        <v>82</v>
      </c>
      <c r="E11" s="17" t="n">
        <v>40000</v>
      </c>
      <c r="F11" s="18" t="n">
        <v>46088.4583333333</v>
      </c>
      <c r="G11" s="8" t="s">
        <v>73</v>
      </c>
      <c r="H11" s="17" t="n">
        <v>2500000</v>
      </c>
      <c r="I11" s="8" t="s">
        <v>65</v>
      </c>
      <c r="J11" s="8" t="s">
        <v>85</v>
      </c>
      <c r="K11" s="8" t="s">
        <v>58</v>
      </c>
      <c r="L11" s="8" t="n">
        <f aca="false">IF(AND(G11="Cash",I11="Credit",OR(AND(H11&gt;=45000,H11&lt;50000),AND(H11&gt;=900000,H11&lt;1000000))),1,0)</f>
        <v>0</v>
      </c>
      <c r="M11" s="19" t="n">
        <f aca="false">SUMIFS($H$2:$H$500,$B$2:$B$500,B11,$I$2:$I$500,"Credit")/MAX(E11,1)</f>
        <v>62.5</v>
      </c>
      <c r="N11" s="8" t="str">
        <f aca="false">IF(AND(L11=1,COUNTIFS($B$2:$B$500,B11,$G$2:$G$500,"Cash",$I$2:$I$500,"Credit",$L$2:$L$500,1,$F$2:$F$500,"&gt;="&amp;(INT(F11)-2),$F$2:$F$500,"&lt;="&amp;(INT(F11)+0.99999))&gt;=2),"ALERT: Structuring / Smurfing","NORMAL")</f>
        <v>NORMAL</v>
      </c>
      <c r="O11" s="8" t="str">
        <f aca="false">IF(I11="Debit",IF(H11&gt;=50000,IF(SUMIFS($H$2:$H$500,$B$2:$B$500,B11,$I$2:$I$500,"Credit",$F$2:$F$500,"&gt;="&amp;(F11-1),$F$2:$F$500,"&lt;="&amp;F11)&gt;0,IF((H11/SUMIFS($H$2:$H$500,$B$2:$B$500,B11,$I$2:$I$500,"Credit",$F$2:$F$500,"&gt;="&amp;(F11-1),$F$2:$F$500,"&lt;="&amp;F11))&gt;=0.95,"ALERT: Mule / Pass-Through","NORMAL"),"NORMAL"),"NORMAL"),"NORMAL")</f>
        <v>NORMAL</v>
      </c>
      <c r="P11" s="8" t="str">
        <f aca="false">IF(AND(I11="Credit",H11&gt;=1000000,COUNTIFS($B$2:$B$500,B11,$F$2:$F$500,"&gt;="&amp;(F11-180),$F$2:$F$500,"&lt;="&amp;(F11-1))=0),"ALERT: Dormant Velocity Surge","NORMAL")</f>
        <v>ALERT: Dormant Velocity Surge</v>
      </c>
      <c r="Q11" s="8" t="str">
        <f aca="false">IF(OR(N11&lt;&gt;"NORMAL",O11&lt;&gt;"NORMAL",P11&lt;&gt;"NORMAL",M11&gt;=5),"HIGH RISK (FILE STR)","LOW RISK")</f>
        <v>HIGH RISK (FILE STR)</v>
      </c>
      <c r="R11" s="8" t="n">
        <f aca="false">IF(LEFT(Q11,4)="HIGH",1,0)</f>
        <v>1</v>
      </c>
      <c r="S11" s="20" t="n">
        <f aca="false">INT(F11)</f>
        <v>46088</v>
      </c>
      <c r="T11" s="8" t="n">
        <f aca="false">IF(R11=1,COUNTIFS($B$2:B11,B11,$R$2:R11,1),0)</f>
        <v>2</v>
      </c>
      <c r="U11" s="8" t="str">
        <f aca="false">IF(T11&gt;0,B11&amp;"|"&amp;T11,"")</f>
        <v>CUST04|2</v>
      </c>
    </row>
    <row r="12" customFormat="false" ht="15" hidden="false" customHeight="false" outlineLevel="0" collapsed="false">
      <c r="A12" s="8" t="s">
        <v>86</v>
      </c>
      <c r="B12" s="8" t="s">
        <v>25</v>
      </c>
      <c r="C12" s="8" t="s">
        <v>81</v>
      </c>
      <c r="D12" s="8" t="s">
        <v>82</v>
      </c>
      <c r="E12" s="17" t="n">
        <v>40000</v>
      </c>
      <c r="F12" s="18" t="n">
        <v>46089.3958333333</v>
      </c>
      <c r="G12" s="8" t="s">
        <v>64</v>
      </c>
      <c r="H12" s="17" t="n">
        <v>950000</v>
      </c>
      <c r="I12" s="8" t="s">
        <v>56</v>
      </c>
      <c r="J12" s="8" t="s">
        <v>87</v>
      </c>
      <c r="K12" s="8" t="s">
        <v>58</v>
      </c>
      <c r="L12" s="8" t="n">
        <f aca="false">IF(AND(G12="Cash",I12="Credit",OR(AND(H12&gt;=45000,H12&lt;50000),AND(H12&gt;=900000,H12&lt;1000000))),1,0)</f>
        <v>0</v>
      </c>
      <c r="M12" s="19" t="n">
        <f aca="false">SUMIFS($H$2:$H$500,$B$2:$B$500,B12,$I$2:$I$500,"Credit")/MAX(E12,1)</f>
        <v>62.5</v>
      </c>
      <c r="N12" s="8" t="str">
        <f aca="false">IF(AND(L12=1,COUNTIFS($B$2:$B$500,B12,$G$2:$G$500,"Cash",$I$2:$I$500,"Credit",$L$2:$L$500,1,$F$2:$F$500,"&gt;="&amp;(INT(F12)-2),$F$2:$F$500,"&lt;="&amp;(INT(F12)+0.99999))&gt;=2),"ALERT: Structuring / Smurfing","NORMAL")</f>
        <v>NORMAL</v>
      </c>
      <c r="O12" s="8" t="str">
        <f aca="false">IF(I12="Debit",IF(H12&gt;=50000,IF(SUMIFS($H$2:$H$500,$B$2:$B$500,B12,$I$2:$I$500,"Credit",$F$2:$F$500,"&gt;="&amp;(F12-1),$F$2:$F$500,"&lt;="&amp;F12)&gt;0,IF((H12/SUMIFS($H$2:$H$500,$B$2:$B$500,B12,$I$2:$I$500,"Credit",$F$2:$F$500,"&gt;="&amp;(F12-1),$F$2:$F$500,"&lt;="&amp;F12))&gt;=0.95,"ALERT: Mule / Pass-Through","NORMAL"),"NORMAL"),"NORMAL"),"NORMAL")</f>
        <v>NORMAL</v>
      </c>
      <c r="P12" s="8" t="str">
        <f aca="false">IF(AND(I12="Credit",H12&gt;=1000000,COUNTIFS($B$2:$B$500,B12,$F$2:$F$500,"&gt;="&amp;(F12-180),$F$2:$F$500,"&lt;="&amp;(F12-1))=0),"ALERT: Dormant Velocity Surge","NORMAL")</f>
        <v>NORMAL</v>
      </c>
      <c r="Q12" s="8" t="str">
        <f aca="false">IF(OR(N12&lt;&gt;"NORMAL",O12&lt;&gt;"NORMAL",P12&lt;&gt;"NORMAL",M12&gt;=5),"HIGH RISK (FILE STR)","LOW RISK")</f>
        <v>HIGH RISK (FILE STR)</v>
      </c>
      <c r="R12" s="8" t="n">
        <f aca="false">IF(LEFT(Q12,4)="HIGH",1,0)</f>
        <v>1</v>
      </c>
      <c r="S12" s="20" t="n">
        <f aca="false">INT(F12)</f>
        <v>46089</v>
      </c>
      <c r="T12" s="8" t="n">
        <f aca="false">IF(R12=1,COUNTIFS($B$2:B12,B12,$R$2:R12,1),0)</f>
        <v>3</v>
      </c>
      <c r="U12" s="8" t="str">
        <f aca="false">IF(T12&gt;0,B12&amp;"|"&amp;T12,"")</f>
        <v>CUST04|3</v>
      </c>
    </row>
    <row r="13" customFormat="false" ht="15" hidden="false" customHeight="false" outlineLevel="0" collapsed="false">
      <c r="A13" s="8" t="s">
        <v>88</v>
      </c>
      <c r="B13" s="8" t="s">
        <v>26</v>
      </c>
      <c r="C13" s="8" t="s">
        <v>89</v>
      </c>
      <c r="D13" s="8" t="s">
        <v>90</v>
      </c>
      <c r="E13" s="17" t="n">
        <v>200000</v>
      </c>
      <c r="F13" s="18" t="n">
        <v>46083.5</v>
      </c>
      <c r="G13" s="8" t="s">
        <v>73</v>
      </c>
      <c r="H13" s="17" t="n">
        <v>150000</v>
      </c>
      <c r="I13" s="8" t="s">
        <v>56</v>
      </c>
      <c r="J13" s="8" t="s">
        <v>91</v>
      </c>
      <c r="K13" s="8" t="s">
        <v>58</v>
      </c>
      <c r="L13" s="8" t="n">
        <f aca="false">IF(AND(G13="Cash",I13="Credit",OR(AND(H13&gt;=45000,H13&lt;50000),AND(H13&gt;=900000,H13&lt;1000000))),1,0)</f>
        <v>0</v>
      </c>
      <c r="M13" s="19" t="n">
        <f aca="false">SUMIFS($H$2:$H$500,$B$2:$B$500,B13,$I$2:$I$500,"Credit")/MAX(E13,1)</f>
        <v>0</v>
      </c>
      <c r="N13" s="8" t="str">
        <f aca="false">IF(AND(L13=1,COUNTIFS($B$2:$B$500,B13,$G$2:$G$500,"Cash",$I$2:$I$500,"Credit",$L$2:$L$500,1,$F$2:$F$500,"&gt;="&amp;(INT(F13)-2),$F$2:$F$500,"&lt;="&amp;(INT(F13)+0.99999))&gt;=2),"ALERT: Structuring / Smurfing","NORMAL")</f>
        <v>NORMAL</v>
      </c>
      <c r="O13" s="8" t="str">
        <f aca="false">IF(I13="Debit",IF(H13&gt;=50000,IF(SUMIFS($H$2:$H$500,$B$2:$B$500,B13,$I$2:$I$500,"Credit",$F$2:$F$500,"&gt;="&amp;(F13-1),$F$2:$F$500,"&lt;="&amp;F13)&gt;0,IF((H13/SUMIFS($H$2:$H$500,$B$2:$B$500,B13,$I$2:$I$500,"Credit",$F$2:$F$500,"&gt;="&amp;(F13-1),$F$2:$F$500,"&lt;="&amp;F13))&gt;=0.95,"ALERT: Mule / Pass-Through","NORMAL"),"NORMAL"),"NORMAL"),"NORMAL")</f>
        <v>NORMAL</v>
      </c>
      <c r="P13" s="8" t="str">
        <f aca="false">IF(AND(I13="Credit",H13&gt;=1000000,COUNTIFS($B$2:$B$500,B13,$F$2:$F$500,"&gt;="&amp;(F13-180),$F$2:$F$500,"&lt;="&amp;(F13-1))=0),"ALERT: Dormant Velocity Surge","NORMAL")</f>
        <v>NORMAL</v>
      </c>
      <c r="Q13" s="8" t="str">
        <f aca="false">IF(OR(N13&lt;&gt;"NORMAL",O13&lt;&gt;"NORMAL",P13&lt;&gt;"NORMAL",M13&gt;=5),"HIGH RISK (FILE STR)","LOW RISK")</f>
        <v>LOW RISK</v>
      </c>
      <c r="R13" s="8" t="n">
        <f aca="false">IF(LEFT(Q13,4)="HIGH",1,0)</f>
        <v>0</v>
      </c>
      <c r="S13" s="20" t="n">
        <f aca="false">INT(F13)</f>
        <v>46083</v>
      </c>
      <c r="T13" s="8" t="n">
        <f aca="false">IF(R13=1,COUNTIFS($B$2:B13,B13,$R$2:R13,1),0)</f>
        <v>0</v>
      </c>
      <c r="U13" s="8" t="str">
        <f aca="false">IF(T13&gt;0,B13&amp;"|"&amp;T13,"")</f>
        <v/>
      </c>
    </row>
    <row r="14" customFormat="false" ht="15" hidden="false" customHeight="false" outlineLevel="0" collapsed="false">
      <c r="A14" s="8" t="s">
        <v>92</v>
      </c>
      <c r="B14" s="8" t="s">
        <v>26</v>
      </c>
      <c r="C14" s="8" t="s">
        <v>89</v>
      </c>
      <c r="D14" s="8" t="s">
        <v>90</v>
      </c>
      <c r="E14" s="17" t="n">
        <v>200000</v>
      </c>
      <c r="F14" s="18" t="n">
        <v>46089.7083333333</v>
      </c>
      <c r="G14" s="8" t="s">
        <v>55</v>
      </c>
      <c r="H14" s="17" t="n">
        <v>5000</v>
      </c>
      <c r="I14" s="8" t="s">
        <v>56</v>
      </c>
      <c r="J14" s="8" t="s">
        <v>93</v>
      </c>
      <c r="K14" s="8" t="s">
        <v>58</v>
      </c>
      <c r="L14" s="8" t="n">
        <f aca="false">IF(AND(G14="Cash",I14="Credit",OR(AND(H14&gt;=45000,H14&lt;50000),AND(H14&gt;=900000,H14&lt;1000000))),1,0)</f>
        <v>0</v>
      </c>
      <c r="M14" s="19" t="n">
        <f aca="false">SUMIFS($H$2:$H$500,$B$2:$B$500,B14,$I$2:$I$500,"Credit")/MAX(E14,1)</f>
        <v>0</v>
      </c>
      <c r="N14" s="8" t="str">
        <f aca="false">IF(AND(L14=1,COUNTIFS($B$2:$B$500,B14,$G$2:$G$500,"Cash",$I$2:$I$500,"Credit",$L$2:$L$500,1,$F$2:$F$500,"&gt;="&amp;(INT(F14)-2),$F$2:$F$500,"&lt;="&amp;(INT(F14)+0.99999))&gt;=2),"ALERT: Structuring / Smurfing","NORMAL")</f>
        <v>NORMAL</v>
      </c>
      <c r="O14" s="8" t="str">
        <f aca="false">IF(I14="Debit",IF(H14&gt;=50000,IF(SUMIFS($H$2:$H$500,$B$2:$B$500,B14,$I$2:$I$500,"Credit",$F$2:$F$500,"&gt;="&amp;(F14-1),$F$2:$F$500,"&lt;="&amp;F14)&gt;0,IF((H14/SUMIFS($H$2:$H$500,$B$2:$B$500,B14,$I$2:$I$500,"Credit",$F$2:$F$500,"&gt;="&amp;(F14-1),$F$2:$F$500,"&lt;="&amp;F14))&gt;=0.95,"ALERT: Mule / Pass-Through","NORMAL"),"NORMAL"),"NORMAL"),"NORMAL")</f>
        <v>NORMAL</v>
      </c>
      <c r="P14" s="8" t="str">
        <f aca="false">IF(AND(I14="Credit",H14&gt;=1000000,COUNTIFS($B$2:$B$500,B14,$F$2:$F$500,"&gt;="&amp;(F14-180),$F$2:$F$500,"&lt;="&amp;(F14-1))=0),"ALERT: Dormant Velocity Surge","NORMAL")</f>
        <v>NORMAL</v>
      </c>
      <c r="Q14" s="8" t="str">
        <f aca="false">IF(OR(N14&lt;&gt;"NORMAL",O14&lt;&gt;"NORMAL",P14&lt;&gt;"NORMAL",M14&gt;=5),"HIGH RISK (FILE STR)","LOW RISK")</f>
        <v>LOW RISK</v>
      </c>
      <c r="R14" s="8" t="n">
        <f aca="false">IF(LEFT(Q14,4)="HIGH",1,0)</f>
        <v>0</v>
      </c>
      <c r="S14" s="20" t="n">
        <f aca="false">INT(F14)</f>
        <v>46089</v>
      </c>
      <c r="T14" s="8" t="n">
        <f aca="false">IF(R14=1,COUNTIFS($B$2:B14,B14,$R$2:R14,1),0)</f>
        <v>0</v>
      </c>
      <c r="U14" s="8" t="str">
        <f aca="false">IF(T14&gt;0,B14&amp;"|"&amp;T14,"")</f>
        <v/>
      </c>
    </row>
    <row r="15" customFormat="false" ht="15" hidden="false" customHeight="false" outlineLevel="0" collapsed="false">
      <c r="A15" s="8" t="s">
        <v>94</v>
      </c>
      <c r="B15" s="8" t="s">
        <v>27</v>
      </c>
      <c r="C15" s="8" t="s">
        <v>95</v>
      </c>
      <c r="D15" s="8" t="s">
        <v>96</v>
      </c>
      <c r="E15" s="17" t="n">
        <v>300000</v>
      </c>
      <c r="F15" s="18" t="n">
        <v>46082.4166666667</v>
      </c>
      <c r="G15" s="8" t="s">
        <v>64</v>
      </c>
      <c r="H15" s="17" t="n">
        <v>985000</v>
      </c>
      <c r="I15" s="8" t="s">
        <v>65</v>
      </c>
      <c r="J15" s="8" t="s">
        <v>97</v>
      </c>
      <c r="K15" s="8" t="s">
        <v>58</v>
      </c>
      <c r="L15" s="8" t="n">
        <f aca="false">IF(AND(G15="Cash",I15="Credit",OR(AND(H15&gt;=45000,H15&lt;50000),AND(H15&gt;=900000,H15&lt;1000000))),1,0)</f>
        <v>1</v>
      </c>
      <c r="M15" s="19" t="n">
        <f aca="false">SUMIFS($H$2:$H$500,$B$2:$B$500,B15,$I$2:$I$500,"Credit")/MAX(E15,1)</f>
        <v>6.58333333333333</v>
      </c>
      <c r="N15" s="8" t="str">
        <f aca="false">IF(AND(L15=1,COUNTIFS($B$2:$B$500,B15,$G$2:$G$500,"Cash",$I$2:$I$500,"Credit",$L$2:$L$500,1,$F$2:$F$500,"&gt;="&amp;(INT(F15)-2),$F$2:$F$500,"&lt;="&amp;(INT(F15)+0.99999))&gt;=2),"ALERT: Structuring / Smurfing","NORMAL")</f>
        <v>NORMAL</v>
      </c>
      <c r="O15" s="8" t="str">
        <f aca="false">IF(I15="Debit",IF(H15&gt;=50000,IF(SUMIFS($H$2:$H$500,$B$2:$B$500,B15,$I$2:$I$500,"Credit",$F$2:$F$500,"&gt;="&amp;(F15-1),$F$2:$F$500,"&lt;="&amp;F15)&gt;0,IF((H15/SUMIFS($H$2:$H$500,$B$2:$B$500,B15,$I$2:$I$500,"Credit",$F$2:$F$500,"&gt;="&amp;(F15-1),$F$2:$F$500,"&lt;="&amp;F15))&gt;=0.95,"ALERT: Mule / Pass-Through","NORMAL"),"NORMAL"),"NORMAL"),"NORMAL")</f>
        <v>NORMAL</v>
      </c>
      <c r="P15" s="8" t="str">
        <f aca="false">IF(AND(I15="Credit",H15&gt;=1000000,COUNTIFS($B$2:$B$500,B15,$F$2:$F$500,"&gt;="&amp;(F15-180),$F$2:$F$500,"&lt;="&amp;(F15-1))=0),"ALERT: Dormant Velocity Surge","NORMAL")</f>
        <v>NORMAL</v>
      </c>
      <c r="Q15" s="8" t="str">
        <f aca="false">IF(OR(N15&lt;&gt;"NORMAL",O15&lt;&gt;"NORMAL",P15&lt;&gt;"NORMAL",M15&gt;=5),"HIGH RISK (FILE STR)","LOW RISK")</f>
        <v>HIGH RISK (FILE STR)</v>
      </c>
      <c r="R15" s="8" t="n">
        <f aca="false">IF(LEFT(Q15,4)="HIGH",1,0)</f>
        <v>1</v>
      </c>
      <c r="S15" s="20" t="n">
        <f aca="false">INT(F15)</f>
        <v>46082</v>
      </c>
      <c r="T15" s="8" t="n">
        <f aca="false">IF(R15=1,COUNTIFS($B$2:B15,B15,$R$2:R15,1),0)</f>
        <v>1</v>
      </c>
      <c r="U15" s="8" t="str">
        <f aca="false">IF(T15&gt;0,B15&amp;"|"&amp;T15,"")</f>
        <v>CUST06|1</v>
      </c>
    </row>
    <row r="16" customFormat="false" ht="15" hidden="false" customHeight="false" outlineLevel="0" collapsed="false">
      <c r="A16" s="8" t="s">
        <v>98</v>
      </c>
      <c r="B16" s="8" t="s">
        <v>27</v>
      </c>
      <c r="C16" s="8" t="s">
        <v>95</v>
      </c>
      <c r="D16" s="8" t="s">
        <v>96</v>
      </c>
      <c r="E16" s="17" t="n">
        <v>300000</v>
      </c>
      <c r="F16" s="18" t="n">
        <v>46083.6458333333</v>
      </c>
      <c r="G16" s="8" t="s">
        <v>64</v>
      </c>
      <c r="H16" s="17" t="n">
        <v>990000</v>
      </c>
      <c r="I16" s="8" t="s">
        <v>65</v>
      </c>
      <c r="J16" s="8" t="s">
        <v>97</v>
      </c>
      <c r="K16" s="8" t="s">
        <v>58</v>
      </c>
      <c r="L16" s="8" t="n">
        <f aca="false">IF(AND(G16="Cash",I16="Credit",OR(AND(H16&gt;=45000,H16&lt;50000),AND(H16&gt;=900000,H16&lt;1000000))),1,0)</f>
        <v>1</v>
      </c>
      <c r="M16" s="19" t="n">
        <f aca="false">SUMIFS($H$2:$H$500,$B$2:$B$500,B16,$I$2:$I$500,"Credit")/MAX(E16,1)</f>
        <v>6.58333333333333</v>
      </c>
      <c r="N16" s="8" t="str">
        <f aca="false">IF(AND(L16=1,COUNTIFS($B$2:$B$500,B16,$G$2:$G$500,"Cash",$I$2:$I$500,"Credit",$L$2:$L$500,1,$F$2:$F$500,"&gt;="&amp;(INT(F16)-2),$F$2:$F$500,"&lt;="&amp;(INT(F16)+0.99999))&gt;=2),"ALERT: Structuring / Smurfing","NORMAL")</f>
        <v>ALERT: Structuring / Smurfing</v>
      </c>
      <c r="O16" s="8" t="str">
        <f aca="false">IF(I16="Debit",IF(H16&gt;=50000,IF(SUMIFS($H$2:$H$500,$B$2:$B$500,B16,$I$2:$I$500,"Credit",$F$2:$F$500,"&gt;="&amp;(F16-1),$F$2:$F$500,"&lt;="&amp;F16)&gt;0,IF((H16/SUMIFS($H$2:$H$500,$B$2:$B$500,B16,$I$2:$I$500,"Credit",$F$2:$F$500,"&gt;="&amp;(F16-1),$F$2:$F$500,"&lt;="&amp;F16))&gt;=0.95,"ALERT: Mule / Pass-Through","NORMAL"),"NORMAL"),"NORMAL"),"NORMAL")</f>
        <v>NORMAL</v>
      </c>
      <c r="P16" s="8" t="str">
        <f aca="false">IF(AND(I16="Credit",H16&gt;=1000000,COUNTIFS($B$2:$B$500,B16,$F$2:$F$500,"&gt;="&amp;(F16-180),$F$2:$F$500,"&lt;="&amp;(F16-1))=0),"ALERT: Dormant Velocity Surge","NORMAL")</f>
        <v>NORMAL</v>
      </c>
      <c r="Q16" s="8" t="str">
        <f aca="false">IF(OR(N16&lt;&gt;"NORMAL",O16&lt;&gt;"NORMAL",P16&lt;&gt;"NORMAL",M16&gt;=5),"HIGH RISK (FILE STR)","LOW RISK")</f>
        <v>HIGH RISK (FILE STR)</v>
      </c>
      <c r="R16" s="8" t="n">
        <f aca="false">IF(LEFT(Q16,4)="HIGH",1,0)</f>
        <v>1</v>
      </c>
      <c r="S16" s="20" t="n">
        <f aca="false">INT(F16)</f>
        <v>46083</v>
      </c>
      <c r="T16" s="8" t="n">
        <f aca="false">IF(R16=1,COUNTIFS($B$2:B16,B16,$R$2:R16,1),0)</f>
        <v>2</v>
      </c>
      <c r="U16" s="8" t="str">
        <f aca="false">IF(T16&gt;0,B16&amp;"|"&amp;T16,"")</f>
        <v>CUST06|2</v>
      </c>
    </row>
    <row r="17" customFormat="false" ht="15" hidden="false" customHeight="false" outlineLevel="0" collapsed="false">
      <c r="A17" s="8" t="s">
        <v>99</v>
      </c>
      <c r="B17" s="8" t="s">
        <v>28</v>
      </c>
      <c r="C17" s="8" t="s">
        <v>100</v>
      </c>
      <c r="D17" s="8" t="s">
        <v>101</v>
      </c>
      <c r="E17" s="17" t="n">
        <v>60000</v>
      </c>
      <c r="F17" s="18" t="n">
        <v>46084.5833333333</v>
      </c>
      <c r="G17" s="8" t="s">
        <v>77</v>
      </c>
      <c r="H17" s="17" t="n">
        <v>55000</v>
      </c>
      <c r="I17" s="8" t="s">
        <v>65</v>
      </c>
      <c r="J17" s="8" t="s">
        <v>102</v>
      </c>
      <c r="K17" s="8" t="s">
        <v>103</v>
      </c>
      <c r="L17" s="8" t="n">
        <f aca="false">IF(AND(G17="Cash",I17="Credit",OR(AND(H17&gt;=45000,H17&lt;50000),AND(H17&gt;=900000,H17&lt;1000000))),1,0)</f>
        <v>0</v>
      </c>
      <c r="M17" s="19" t="n">
        <f aca="false">SUMIFS($H$2:$H$500,$B$2:$B$500,B17,$I$2:$I$500,"Credit")/MAX(E17,1)</f>
        <v>0.916666666666667</v>
      </c>
      <c r="N17" s="8" t="str">
        <f aca="false">IF(AND(L17=1,COUNTIFS($B$2:$B$500,B17,$G$2:$G$500,"Cash",$I$2:$I$500,"Credit",$L$2:$L$500,1,$F$2:$F$500,"&gt;="&amp;(INT(F17)-2),$F$2:$F$500,"&lt;="&amp;(INT(F17)+0.99999))&gt;=2),"ALERT: Structuring / Smurfing","NORMAL")</f>
        <v>NORMAL</v>
      </c>
      <c r="O17" s="8" t="str">
        <f aca="false">IF(I17="Debit",IF(H17&gt;=50000,IF(SUMIFS($H$2:$H$500,$B$2:$B$500,B17,$I$2:$I$500,"Credit",$F$2:$F$500,"&gt;="&amp;(F17-1),$F$2:$F$500,"&lt;="&amp;F17)&gt;0,IF((H17/SUMIFS($H$2:$H$500,$B$2:$B$500,B17,$I$2:$I$500,"Credit",$F$2:$F$500,"&gt;="&amp;(F17-1),$F$2:$F$500,"&lt;="&amp;F17))&gt;=0.95,"ALERT: Mule / Pass-Through","NORMAL"),"NORMAL"),"NORMAL"),"NORMAL")</f>
        <v>NORMAL</v>
      </c>
      <c r="P17" s="8" t="str">
        <f aca="false">IF(AND(I17="Credit",H17&gt;=1000000,COUNTIFS($B$2:$B$500,B17,$F$2:$F$500,"&gt;="&amp;(F17-180),$F$2:$F$500,"&lt;="&amp;(F17-1))=0),"ALERT: Dormant Velocity Surge","NORMAL")</f>
        <v>NORMAL</v>
      </c>
      <c r="Q17" s="8" t="str">
        <f aca="false">IF(OR(N17&lt;&gt;"NORMAL",O17&lt;&gt;"NORMAL",P17&lt;&gt;"NORMAL",M17&gt;=5),"HIGH RISK (FILE STR)","LOW RISK")</f>
        <v>LOW RISK</v>
      </c>
      <c r="R17" s="8" t="n">
        <f aca="false">IF(LEFT(Q17,4)="HIGH",1,0)</f>
        <v>0</v>
      </c>
      <c r="S17" s="20" t="n">
        <f aca="false">INT(F17)</f>
        <v>46084</v>
      </c>
      <c r="T17" s="8" t="n">
        <f aca="false">IF(R17=1,COUNTIFS($B$2:B17,B17,$R$2:R17,1),0)</f>
        <v>0</v>
      </c>
      <c r="U17" s="8" t="str">
        <f aca="false">IF(T17&gt;0,B17&amp;"|"&amp;T17,"")</f>
        <v/>
      </c>
    </row>
    <row r="18" customFormat="false" ht="15" hidden="false" customHeight="false" outlineLevel="0" collapsed="false">
      <c r="A18" s="8" t="s">
        <v>104</v>
      </c>
      <c r="B18" s="8" t="s">
        <v>29</v>
      </c>
      <c r="C18" s="8" t="s">
        <v>105</v>
      </c>
      <c r="D18" s="8" t="s">
        <v>106</v>
      </c>
      <c r="E18" s="17" t="n">
        <v>0</v>
      </c>
      <c r="F18" s="18" t="n">
        <v>46088.4270833333</v>
      </c>
      <c r="G18" s="8" t="s">
        <v>64</v>
      </c>
      <c r="H18" s="17" t="n">
        <v>49000</v>
      </c>
      <c r="I18" s="8" t="s">
        <v>65</v>
      </c>
      <c r="J18" s="8" t="s">
        <v>107</v>
      </c>
      <c r="K18" s="8" t="s">
        <v>58</v>
      </c>
      <c r="L18" s="8" t="n">
        <f aca="false">IF(AND(G18="Cash",I18="Credit",OR(AND(H18&gt;=45000,H18&lt;50000),AND(H18&gt;=900000,H18&lt;1000000))),1,0)</f>
        <v>1</v>
      </c>
      <c r="M18" s="19" t="n">
        <f aca="false">SUMIFS($H$2:$H$500,$B$2:$B$500,B18,$I$2:$I$500,"Credit")/MAX(E18,1)</f>
        <v>97500</v>
      </c>
      <c r="N18" s="8" t="str">
        <f aca="false">IF(AND(L18=1,COUNTIFS($B$2:$B$500,B18,$G$2:$G$500,"Cash",$I$2:$I$500,"Credit",$L$2:$L$500,1,$F$2:$F$500,"&gt;="&amp;(INT(F18)-2),$F$2:$F$500,"&lt;="&amp;(INT(F18)+0.99999))&gt;=2),"ALERT: Structuring / Smurfing","NORMAL")</f>
        <v>ALERT: Structuring / Smurfing</v>
      </c>
      <c r="O18" s="8" t="str">
        <f aca="false">IF(I18="Debit",IF(H18&gt;=50000,IF(SUMIFS($H$2:$H$500,$B$2:$B$500,B18,$I$2:$I$500,"Credit",$F$2:$F$500,"&gt;="&amp;(F18-1),$F$2:$F$500,"&lt;="&amp;F18)&gt;0,IF((H18/SUMIFS($H$2:$H$500,$B$2:$B$500,B18,$I$2:$I$500,"Credit",$F$2:$F$500,"&gt;="&amp;(F18-1),$F$2:$F$500,"&lt;="&amp;F18))&gt;=0.95,"ALERT: Mule / Pass-Through","NORMAL"),"NORMAL"),"NORMAL"),"NORMAL")</f>
        <v>NORMAL</v>
      </c>
      <c r="P18" s="8" t="str">
        <f aca="false">IF(AND(I18="Credit",H18&gt;=1000000,COUNTIFS($B$2:$B$500,B18,$F$2:$F$500,"&gt;="&amp;(F18-180),$F$2:$F$500,"&lt;="&amp;(F18-1))=0),"ALERT: Dormant Velocity Surge","NORMAL")</f>
        <v>NORMAL</v>
      </c>
      <c r="Q18" s="8" t="str">
        <f aca="false">IF(OR(N18&lt;&gt;"NORMAL",O18&lt;&gt;"NORMAL",P18&lt;&gt;"NORMAL",M18&gt;=5),"HIGH RISK (FILE STR)","LOW RISK")</f>
        <v>HIGH RISK (FILE STR)</v>
      </c>
      <c r="R18" s="8" t="n">
        <f aca="false">IF(LEFT(Q18,4)="HIGH",1,0)</f>
        <v>1</v>
      </c>
      <c r="S18" s="20" t="n">
        <f aca="false">INT(F18)</f>
        <v>46088</v>
      </c>
      <c r="T18" s="8" t="n">
        <f aca="false">IF(R18=1,COUNTIFS($B$2:B18,B18,$R$2:R18,1),0)</f>
        <v>1</v>
      </c>
      <c r="U18" s="8" t="str">
        <f aca="false">IF(T18&gt;0,B18&amp;"|"&amp;T18,"")</f>
        <v>CUST08|1</v>
      </c>
    </row>
    <row r="19" customFormat="false" ht="15" hidden="false" customHeight="false" outlineLevel="0" collapsed="false">
      <c r="A19" s="8" t="s">
        <v>108</v>
      </c>
      <c r="B19" s="8" t="s">
        <v>29</v>
      </c>
      <c r="C19" s="8" t="s">
        <v>105</v>
      </c>
      <c r="D19" s="8" t="s">
        <v>106</v>
      </c>
      <c r="E19" s="17" t="n">
        <v>0</v>
      </c>
      <c r="F19" s="18" t="n">
        <v>46088.6666666667</v>
      </c>
      <c r="G19" s="8" t="s">
        <v>64</v>
      </c>
      <c r="H19" s="17" t="n">
        <v>48500</v>
      </c>
      <c r="I19" s="8" t="s">
        <v>65</v>
      </c>
      <c r="J19" s="8" t="s">
        <v>107</v>
      </c>
      <c r="K19" s="8" t="s">
        <v>58</v>
      </c>
      <c r="L19" s="8" t="n">
        <f aca="false">IF(AND(G19="Cash",I19="Credit",OR(AND(H19&gt;=45000,H19&lt;50000),AND(H19&gt;=900000,H19&lt;1000000))),1,0)</f>
        <v>1</v>
      </c>
      <c r="M19" s="19" t="n">
        <f aca="false">SUMIFS($H$2:$H$500,$B$2:$B$500,B19,$I$2:$I$500,"Credit")/MAX(E19,1)</f>
        <v>97500</v>
      </c>
      <c r="N19" s="8" t="str">
        <f aca="false">IF(AND(L19=1,COUNTIFS($B$2:$B$500,B19,$G$2:$G$500,"Cash",$I$2:$I$500,"Credit",$L$2:$L$500,1,$F$2:$F$500,"&gt;="&amp;(INT(F19)-2),$F$2:$F$500,"&lt;="&amp;(INT(F19)+0.99999))&gt;=2),"ALERT: Structuring / Smurfing","NORMAL")</f>
        <v>ALERT: Structuring / Smurfing</v>
      </c>
      <c r="O19" s="8" t="str">
        <f aca="false">IF(I19="Debit",IF(H19&gt;=50000,IF(SUMIFS($H$2:$H$500,$B$2:$B$500,B19,$I$2:$I$500,"Credit",$F$2:$F$500,"&gt;="&amp;(F19-1),$F$2:$F$500,"&lt;="&amp;F19)&gt;0,IF((H19/SUMIFS($H$2:$H$500,$B$2:$B$500,B19,$I$2:$I$500,"Credit",$F$2:$F$500,"&gt;="&amp;(F19-1),$F$2:$F$500,"&lt;="&amp;F19))&gt;=0.95,"ALERT: Mule / Pass-Through","NORMAL"),"NORMAL"),"NORMAL"),"NORMAL")</f>
        <v>NORMAL</v>
      </c>
      <c r="P19" s="8" t="str">
        <f aca="false">IF(AND(I19="Credit",H19&gt;=1000000,COUNTIFS($B$2:$B$500,B19,$F$2:$F$500,"&gt;="&amp;(F19-180),$F$2:$F$500,"&lt;="&amp;(F19-1))=0),"ALERT: Dormant Velocity Surge","NORMAL")</f>
        <v>NORMAL</v>
      </c>
      <c r="Q19" s="8" t="str">
        <f aca="false">IF(OR(N19&lt;&gt;"NORMAL",O19&lt;&gt;"NORMAL",P19&lt;&gt;"NORMAL",M19&gt;=5),"HIGH RISK (FILE STR)","LOW RISK")</f>
        <v>HIGH RISK (FILE STR)</v>
      </c>
      <c r="R19" s="8" t="n">
        <f aca="false">IF(LEFT(Q19,4)="HIGH",1,0)</f>
        <v>1</v>
      </c>
      <c r="S19" s="20" t="n">
        <f aca="false">INT(F19)</f>
        <v>46088</v>
      </c>
      <c r="T19" s="8" t="n">
        <f aca="false">IF(R19=1,COUNTIFS($B$2:B19,B19,$R$2:R19,1),0)</f>
        <v>2</v>
      </c>
      <c r="U19" s="8" t="str">
        <f aca="false">IF(T19&gt;0,B19&amp;"|"&amp;T19,"")</f>
        <v>CUST08|2</v>
      </c>
    </row>
    <row r="20" customFormat="false" ht="15" hidden="false" customHeight="false" outlineLevel="0" collapsed="false">
      <c r="A20" s="8" t="s">
        <v>109</v>
      </c>
      <c r="B20" s="8" t="s">
        <v>29</v>
      </c>
      <c r="C20" s="8" t="s">
        <v>105</v>
      </c>
      <c r="D20" s="8" t="s">
        <v>106</v>
      </c>
      <c r="E20" s="17" t="n">
        <v>0</v>
      </c>
      <c r="F20" s="18" t="n">
        <v>46089.4791666667</v>
      </c>
      <c r="G20" s="8" t="s">
        <v>55</v>
      </c>
      <c r="H20" s="17" t="n">
        <v>96000</v>
      </c>
      <c r="I20" s="8" t="s">
        <v>56</v>
      </c>
      <c r="J20" s="8" t="s">
        <v>110</v>
      </c>
      <c r="K20" s="8" t="s">
        <v>58</v>
      </c>
      <c r="L20" s="8" t="n">
        <f aca="false">IF(AND(G20="Cash",I20="Credit",OR(AND(H20&gt;=45000,H20&lt;50000),AND(H20&gt;=900000,H20&lt;1000000))),1,0)</f>
        <v>0</v>
      </c>
      <c r="M20" s="19" t="n">
        <f aca="false">SUMIFS($H$2:$H$500,$B$2:$B$500,B20,$I$2:$I$500,"Credit")/MAX(E20,1)</f>
        <v>97500</v>
      </c>
      <c r="N20" s="8" t="str">
        <f aca="false">IF(AND(L20=1,COUNTIFS($B$2:$B$500,B20,$G$2:$G$500,"Cash",$I$2:$I$500,"Credit",$L$2:$L$500,1,$F$2:$F$500,"&gt;="&amp;(INT(F20)-2),$F$2:$F$500,"&lt;="&amp;(INT(F20)+0.99999))&gt;=2),"ALERT: Structuring / Smurfing","NORMAL")</f>
        <v>NORMAL</v>
      </c>
      <c r="O20" s="8" t="str">
        <f aca="false">IF(I20="Debit",IF(H20&gt;=50000,IF(SUMIFS($H$2:$H$500,$B$2:$B$500,B20,$I$2:$I$500,"Credit",$F$2:$F$500,"&gt;="&amp;(F20-1),$F$2:$F$500,"&lt;="&amp;F20)&gt;0,IF((H20/SUMIFS($H$2:$H$500,$B$2:$B$500,B20,$I$2:$I$500,"Credit",$F$2:$F$500,"&gt;="&amp;(F20-1),$F$2:$F$500,"&lt;="&amp;F20))&gt;=0.95,"ALERT: Mule / Pass-Through","NORMAL"),"NORMAL"),"NORMAL"),"NORMAL")</f>
        <v>ALERT: Mule / Pass-Through</v>
      </c>
      <c r="P20" s="8" t="str">
        <f aca="false">IF(AND(I20="Credit",H20&gt;=1000000,COUNTIFS($B$2:$B$500,B20,$F$2:$F$500,"&gt;="&amp;(F20-180),$F$2:$F$500,"&lt;="&amp;(F20-1))=0),"ALERT: Dormant Velocity Surge","NORMAL")</f>
        <v>NORMAL</v>
      </c>
      <c r="Q20" s="8" t="str">
        <f aca="false">IF(OR(N20&lt;&gt;"NORMAL",O20&lt;&gt;"NORMAL",P20&lt;&gt;"NORMAL",M20&gt;=5),"HIGH RISK (FILE STR)","LOW RISK")</f>
        <v>HIGH RISK (FILE STR)</v>
      </c>
      <c r="R20" s="8" t="n">
        <f aca="false">IF(LEFT(Q20,4)="HIGH",1,0)</f>
        <v>1</v>
      </c>
      <c r="S20" s="20" t="n">
        <f aca="false">INT(F20)</f>
        <v>46089</v>
      </c>
      <c r="T20" s="8" t="n">
        <f aca="false">IF(R20=1,COUNTIFS($B$2:B20,B20,$R$2:R20,1),0)</f>
        <v>3</v>
      </c>
      <c r="U20" s="8" t="str">
        <f aca="false">IF(T20&gt;0,B20&amp;"|"&amp;T20,"")</f>
        <v>CUST08|3</v>
      </c>
    </row>
    <row r="21" customFormat="false" ht="15" hidden="false" customHeight="false" outlineLevel="0" collapsed="false">
      <c r="A21" s="8" t="s">
        <v>111</v>
      </c>
      <c r="B21" s="8" t="s">
        <v>30</v>
      </c>
      <c r="C21" s="8" t="s">
        <v>112</v>
      </c>
      <c r="D21" s="8" t="s">
        <v>54</v>
      </c>
      <c r="E21" s="17" t="n">
        <v>90000</v>
      </c>
      <c r="F21" s="18" t="n">
        <v>46085.5416666667</v>
      </c>
      <c r="G21" s="8" t="s">
        <v>55</v>
      </c>
      <c r="H21" s="17" t="n">
        <v>15000</v>
      </c>
      <c r="I21" s="8" t="s">
        <v>56</v>
      </c>
      <c r="J21" s="8" t="s">
        <v>113</v>
      </c>
      <c r="K21" s="8" t="s">
        <v>58</v>
      </c>
      <c r="L21" s="8" t="n">
        <f aca="false">IF(AND(G21="Cash",I21="Credit",OR(AND(H21&gt;=45000,H21&lt;50000),AND(H21&gt;=900000,H21&lt;1000000))),1,0)</f>
        <v>0</v>
      </c>
      <c r="M21" s="19" t="n">
        <f aca="false">SUMIFS($H$2:$H$500,$B$2:$B$500,B21,$I$2:$I$500,"Credit")/MAX(E21,1)</f>
        <v>0</v>
      </c>
      <c r="N21" s="8" t="str">
        <f aca="false">IF(AND(L21=1,COUNTIFS($B$2:$B$500,B21,$G$2:$G$500,"Cash",$I$2:$I$500,"Credit",$L$2:$L$500,1,$F$2:$F$500,"&gt;="&amp;(INT(F21)-2),$F$2:$F$500,"&lt;="&amp;(INT(F21)+0.99999))&gt;=2),"ALERT: Structuring / Smurfing","NORMAL")</f>
        <v>NORMAL</v>
      </c>
      <c r="O21" s="8" t="str">
        <f aca="false">IF(I21="Debit",IF(H21&gt;=50000,IF(SUMIFS($H$2:$H$500,$B$2:$B$500,B21,$I$2:$I$500,"Credit",$F$2:$F$500,"&gt;="&amp;(F21-1),$F$2:$F$500,"&lt;="&amp;F21)&gt;0,IF((H21/SUMIFS($H$2:$H$500,$B$2:$B$500,B21,$I$2:$I$500,"Credit",$F$2:$F$500,"&gt;="&amp;(F21-1),$F$2:$F$500,"&lt;="&amp;F21))&gt;=0.95,"ALERT: Mule / Pass-Through","NORMAL"),"NORMAL"),"NORMAL"),"NORMAL")</f>
        <v>NORMAL</v>
      </c>
      <c r="P21" s="8" t="str">
        <f aca="false">IF(AND(I21="Credit",H21&gt;=1000000,COUNTIFS($B$2:$B$500,B21,$F$2:$F$500,"&gt;="&amp;(F21-180),$F$2:$F$500,"&lt;="&amp;(F21-1))=0),"ALERT: Dormant Velocity Surge","NORMAL")</f>
        <v>NORMAL</v>
      </c>
      <c r="Q21" s="8" t="str">
        <f aca="false">IF(OR(N21&lt;&gt;"NORMAL",O21&lt;&gt;"NORMAL",P21&lt;&gt;"NORMAL",M21&gt;=5),"HIGH RISK (FILE STR)","LOW RISK")</f>
        <v>LOW RISK</v>
      </c>
      <c r="R21" s="8" t="n">
        <f aca="false">IF(LEFT(Q21,4)="HIGH",1,0)</f>
        <v>0</v>
      </c>
      <c r="S21" s="20" t="n">
        <f aca="false">INT(F21)</f>
        <v>46085</v>
      </c>
      <c r="T21" s="8" t="n">
        <f aca="false">IF(R21=1,COUNTIFS($B$2:B21,B21,$R$2:R21,1),0)</f>
        <v>0</v>
      </c>
      <c r="U21" s="8" t="str">
        <f aca="false">IF(T21&gt;0,B21&amp;"|"&amp;T21,"")</f>
        <v/>
      </c>
    </row>
  </sheetData>
  <conditionalFormatting sqref="Q2:Q500">
    <cfRule type="expression" priority="2" aboveAverage="0" equalAverage="0" bottom="0" percent="0" rank="0" text="" dxfId="8">
      <formula>LEFT($Q2,4)="HIGH"</formula>
    </cfRule>
    <cfRule type="expression" priority="3" aboveAverage="0" equalAverage="0" bottom="0" percent="0" rank="0" text="" dxfId="1">
      <formula>LEFT($Q2,4)="LOW"</formula>
    </cfRule>
  </conditionalFormatting>
  <conditionalFormatting sqref="N2:P500">
    <cfRule type="expression" priority="4" aboveAverage="0" equalAverage="0" bottom="0" percent="0" rank="0" text="" dxfId="9">
      <formula>LEFT(N2,5)="ALERT"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20"/>
  </cols>
  <sheetData>
    <row r="2" customFormat="false" ht="19.7" hidden="false" customHeight="false" outlineLevel="0" collapsed="false">
      <c r="B2" s="21" t="s">
        <v>114</v>
      </c>
    </row>
    <row r="3" customFormat="false" ht="15" hidden="false" customHeight="false" outlineLevel="0" collapsed="false">
      <c r="B3" s="9" t="s">
        <v>115</v>
      </c>
    </row>
    <row r="5" customFormat="false" ht="15" hidden="false" customHeight="false" outlineLevel="0" collapsed="false">
      <c r="B5" s="0" t="s">
        <v>116</v>
      </c>
      <c r="C5" s="22" t="s">
        <v>23</v>
      </c>
      <c r="D5" s="9" t="s">
        <v>117</v>
      </c>
    </row>
    <row r="7" customFormat="false" ht="15" hidden="false" customHeight="false" outlineLevel="0" collapsed="false">
      <c r="B7" s="23" t="s">
        <v>16</v>
      </c>
      <c r="C7" s="24" t="str">
        <f aca="false">INDEX(Data!$C$2:$C$500,MATCH($C$5,Data!$B$2:$B$500,0))</f>
        <v>Vikram Malhotra</v>
      </c>
    </row>
    <row r="8" customFormat="false" ht="15" hidden="false" customHeight="false" outlineLevel="0" collapsed="false">
      <c r="B8" s="23" t="s">
        <v>34</v>
      </c>
      <c r="C8" s="24" t="str">
        <f aca="false">INDEX(Data!$D$2:$D$500,MATCH($C$5,Data!$B$2:$B$500,0))</f>
        <v>Self-Employed</v>
      </c>
    </row>
    <row r="9" customFormat="false" ht="15" hidden="false" customHeight="false" outlineLevel="0" collapsed="false">
      <c r="B9" s="23" t="s">
        <v>118</v>
      </c>
      <c r="C9" s="25" t="n">
        <f aca="false">INDEX(Data!$E$2:$E$500,MATCH($C$5,Data!$B$2:$B$500,0))</f>
        <v>150000</v>
      </c>
    </row>
    <row r="10" customFormat="false" ht="15" hidden="false" customHeight="false" outlineLevel="0" collapsed="false">
      <c r="B10" s="23" t="s">
        <v>2</v>
      </c>
      <c r="C10" s="26" t="n">
        <f aca="false">COUNTIF(Data!$B$2:$B$500,$C$5)</f>
        <v>4</v>
      </c>
    </row>
    <row r="11" customFormat="false" ht="15" hidden="false" customHeight="false" outlineLevel="0" collapsed="false">
      <c r="B11" s="23" t="s">
        <v>119</v>
      </c>
      <c r="C11" s="26" t="n">
        <f aca="false">COUNTIFS(Data!$B$2:$B$500,$C$5,Data!$R$2:$R$500,1)</f>
        <v>3</v>
      </c>
    </row>
    <row r="12" customFormat="false" ht="15" hidden="false" customHeight="false" outlineLevel="0" collapsed="false">
      <c r="B12" s="23" t="s">
        <v>19</v>
      </c>
      <c r="C12" s="25" t="n">
        <f aca="false">SUMIFS(Data!$H$2:$H$500,Data!$B$2:$B$500,$C$5,Data!$R$2:$R$500,1)</f>
        <v>146500</v>
      </c>
    </row>
    <row r="13" customFormat="false" ht="15" hidden="false" customHeight="false" outlineLevel="0" collapsed="false">
      <c r="B13" s="23" t="s">
        <v>120</v>
      </c>
      <c r="C13" s="27" t="n">
        <f aca="false">INDEX(Data!$M$2:$M$500,MATCH($C$5,Data!$B$2:$B$500,0))</f>
        <v>1.3</v>
      </c>
    </row>
    <row r="14" customFormat="false" ht="15" hidden="false" customHeight="false" outlineLevel="0" collapsed="false">
      <c r="B14" s="23" t="s">
        <v>121</v>
      </c>
      <c r="C14" s="28" t="n">
        <f aca="false">IF($C$11=0,"n/a",1000000-SUMPRODUCT(MAX(((Data!$B$2:$B$500=$C$5)*(Data!$R$2:$R$500=1))*(1000000-Data!$S$2:$S$500))))</f>
        <v>46084</v>
      </c>
    </row>
    <row r="15" customFormat="false" ht="15" hidden="false" customHeight="false" outlineLevel="0" collapsed="false">
      <c r="B15" s="23" t="s">
        <v>122</v>
      </c>
      <c r="C15" s="28" t="n">
        <f aca="false">IF($C$11=0,"n/a",SUMPRODUCT(MAX(((Data!$B$2:$B$500=$C$5)*(Data!$R$2:$R$500=1))*Data!$S$2:$S$500)))</f>
        <v>46086</v>
      </c>
    </row>
    <row r="16" customFormat="false" ht="15" hidden="false" customHeight="false" outlineLevel="0" collapsed="false">
      <c r="B16" s="23" t="s">
        <v>123</v>
      </c>
      <c r="C16" s="24" t="str">
        <f aca="false">MID(IF(COUNTIFS(Data!$B$2:$B$500,$C$5,Data!$N$2:$N$500,"ALERT*")&gt;0,", Structuring/Smurfing","")&amp;IF(COUNTIFS(Data!$B$2:$B$500,$C$5,Data!$O$2:$O$500,"ALERT*")&gt;0,", Mule/Pass-Through","")&amp;IF(COUNTIFS(Data!$B$2:$B$500,$C$5,Data!$P$2:$P$500,"ALERT*")&gt;0,", Dormant Velocity Surge",""),3,200)</f>
        <v>Structuring/Smurfing</v>
      </c>
    </row>
    <row r="17" customFormat="false" ht="15" hidden="false" customHeight="false" outlineLevel="0" collapsed="false">
      <c r="B17" s="23" t="s">
        <v>124</v>
      </c>
      <c r="C17" s="24" t="str">
        <f aca="false">MID(IF(COUNTIFS(Data!$B$2:$B$500,$C$5,Data!$R$2:$R$500,1,Data!$G$2:$G$500,"Cash")&gt;0,", Cash","")&amp;IF(COUNTIFS(Data!$B$2:$B$500,$C$5,Data!$R$2:$R$500,1,Data!$G$2:$G$500,"RTGS")&gt;0,", RTGS","")&amp;IF(COUNTIFS(Data!$B$2:$B$500,$C$5,Data!$R$2:$R$500,1,Data!$G$2:$G$500,"Wire")&gt;0,", Wire","")&amp;IF(COUNTIFS(Data!$B$2:$B$500,$C$5,Data!$R$2:$R$500,1,Data!$G$2:$G$500,"UPI")&gt;0,", UPI",""),3,100)</f>
        <v>Cash</v>
      </c>
    </row>
    <row r="19" customFormat="false" ht="15" hidden="false" customHeight="false" outlineLevel="0" collapsed="false">
      <c r="B19" s="10" t="s">
        <v>125</v>
      </c>
    </row>
    <row r="20" customFormat="false" ht="94.5" hidden="false" customHeight="true" outlineLevel="0" collapsed="false">
      <c r="B20" s="29" t="str">
        <f aca="false">"Who: "&amp;C7&amp;" ("&amp;C5&amp;"), "&amp;C8&amp;", declared monthly income Rs "&amp;TEXT(C9,"#,##0")&amp;". What: "&amp;C11&amp;" of "&amp;C10&amp;" transactions flagged, total Rs "&amp;TEXT(C12,"#,##0")&amp;", pattern: "&amp;IF(C16="","credits far above declared income",C16)&amp;"."&amp;" When: "&amp;IF(ISNUMBER(C14),TEXT(C14,"dd-mm-yyyy")&amp;" to "&amp;TEXT(C15,"dd-mm-yyyy"),"no flagged activity")&amp;". Where: via "&amp;C17&amp;". Why suspicious: "&amp;IF(C9=0,"declared income is nil.","credits are "&amp;TEXT(C13,"#,##0.0")&amp;" times declared monthly income.")</f>
        <v>Who: Vikram Malhotra (CUST02), Self-Employed, declared monthly income Rs 150,000. What: 3 of 4 transactions flagged, total Rs 146,500, pattern: Structuring/Smurfing. When: 03-03-2026 to 05-03-2026. Where: via Cash. Why suspicious: credits are 1.3 times declared monthly income.</v>
      </c>
      <c r="C20" s="29"/>
      <c r="D20" s="29"/>
      <c r="E20" s="29"/>
      <c r="F20" s="29"/>
      <c r="G20" s="29"/>
      <c r="H20" s="29"/>
    </row>
    <row r="22" customFormat="false" ht="15" hidden="false" customHeight="false" outlineLevel="0" collapsed="false">
      <c r="B22" s="10" t="s">
        <v>126</v>
      </c>
    </row>
    <row r="23" customFormat="false" ht="15" hidden="false" customHeight="false" outlineLevel="0" collapsed="false">
      <c r="B23" s="7" t="s">
        <v>127</v>
      </c>
      <c r="C23" s="7" t="s">
        <v>128</v>
      </c>
      <c r="D23" s="7" t="s">
        <v>37</v>
      </c>
      <c r="E23" s="7" t="s">
        <v>38</v>
      </c>
      <c r="F23" s="7" t="s">
        <v>129</v>
      </c>
      <c r="G23" s="7" t="s">
        <v>130</v>
      </c>
      <c r="H23" s="7" t="s">
        <v>41</v>
      </c>
    </row>
    <row r="24" customFormat="false" ht="15" hidden="false" customHeight="false" outlineLevel="0" collapsed="false">
      <c r="B24" s="12" t="str">
        <f aca="false">IFERROR(INDEX(Data!$A$2:$A$500,MATCH($C$5&amp;"|"&amp;1,Data!$U$2:$U$500,0)),"")</f>
        <v>TXN1004</v>
      </c>
      <c r="C24" s="30" t="n">
        <f aca="false">IFERROR(INDEX(Data!$F$2:$F$500,MATCH($C$5&amp;"|"&amp;1,Data!$U$2:$U$500,0)),"")</f>
        <v>46084.5972222222</v>
      </c>
      <c r="D24" s="12" t="str">
        <f aca="false">IFERROR(INDEX(Data!$G$2:$G$500,MATCH($C$5&amp;"|"&amp;1,Data!$U$2:$U$500,0)),"")</f>
        <v>Cash</v>
      </c>
      <c r="E24" s="14" t="n">
        <f aca="false">IFERROR(INDEX(Data!$H$2:$H$500,MATCH($C$5&amp;"|"&amp;1,Data!$U$2:$U$500,0)),"")</f>
        <v>49000</v>
      </c>
      <c r="F24" s="12" t="str">
        <f aca="false">IFERROR(INDEX(Data!$I$2:$I$500,MATCH($C$5&amp;"|"&amp;1,Data!$U$2:$U$500,0)),"")</f>
        <v>Credit</v>
      </c>
      <c r="G24" s="12" t="str">
        <f aca="false">IFERROR(INDEX(Data!$J$2:$J$500,MATCH($C$5&amp;"|"&amp;1,Data!$U$2:$U$500,0)),"")</f>
        <v>Self-Deposit</v>
      </c>
      <c r="H24" s="12" t="str">
        <f aca="false">IFERROR(INDEX(Data!$K$2:$K$500,MATCH($C$5&amp;"|"&amp;1,Data!$U$2:$U$500,0)),"")</f>
        <v>India</v>
      </c>
    </row>
    <row r="25" customFormat="false" ht="15" hidden="false" customHeight="false" outlineLevel="0" collapsed="false">
      <c r="B25" s="12" t="str">
        <f aca="false">IFERROR(INDEX(Data!$A$2:$A$500,MATCH($C$5&amp;"|"&amp;2,Data!$U$2:$U$500,0)),"")</f>
        <v>TXN1005</v>
      </c>
      <c r="C25" s="30" t="n">
        <f aca="false">IFERROR(INDEX(Data!$F$2:$F$500,MATCH($C$5&amp;"|"&amp;2,Data!$U$2:$U$500,0)),"")</f>
        <v>46085.40625</v>
      </c>
      <c r="D25" s="12" t="str">
        <f aca="false">IFERROR(INDEX(Data!$G$2:$G$500,MATCH($C$5&amp;"|"&amp;2,Data!$U$2:$U$500,0)),"")</f>
        <v>Cash</v>
      </c>
      <c r="E25" s="14" t="n">
        <f aca="false">IFERROR(INDEX(Data!$H$2:$H$500,MATCH($C$5&amp;"|"&amp;2,Data!$U$2:$U$500,0)),"")</f>
        <v>48000</v>
      </c>
      <c r="F25" s="12" t="str">
        <f aca="false">IFERROR(INDEX(Data!$I$2:$I$500,MATCH($C$5&amp;"|"&amp;2,Data!$U$2:$U$500,0)),"")</f>
        <v>Credit</v>
      </c>
      <c r="G25" s="12" t="str">
        <f aca="false">IFERROR(INDEX(Data!$J$2:$J$500,MATCH($C$5&amp;"|"&amp;2,Data!$U$2:$U$500,0)),"")</f>
        <v>Self-Deposit</v>
      </c>
      <c r="H25" s="12" t="str">
        <f aca="false">IFERROR(INDEX(Data!$K$2:$K$500,MATCH($C$5&amp;"|"&amp;2,Data!$U$2:$U$500,0)),"")</f>
        <v>India</v>
      </c>
    </row>
    <row r="26" customFormat="false" ht="15" hidden="false" customHeight="false" outlineLevel="0" collapsed="false">
      <c r="B26" s="12" t="str">
        <f aca="false">IFERROR(INDEX(Data!$A$2:$A$500,MATCH($C$5&amp;"|"&amp;3,Data!$U$2:$U$500,0)),"")</f>
        <v>TXN1006</v>
      </c>
      <c r="C26" s="30" t="n">
        <f aca="false">IFERROR(INDEX(Data!$F$2:$F$500,MATCH($C$5&amp;"|"&amp;3,Data!$U$2:$U$500,0)),"")</f>
        <v>46086.6736111111</v>
      </c>
      <c r="D26" s="12" t="str">
        <f aca="false">IFERROR(INDEX(Data!$G$2:$G$500,MATCH($C$5&amp;"|"&amp;3,Data!$U$2:$U$500,0)),"")</f>
        <v>Cash</v>
      </c>
      <c r="E26" s="14" t="n">
        <f aca="false">IFERROR(INDEX(Data!$H$2:$H$500,MATCH($C$5&amp;"|"&amp;3,Data!$U$2:$U$500,0)),"")</f>
        <v>49500</v>
      </c>
      <c r="F26" s="12" t="str">
        <f aca="false">IFERROR(INDEX(Data!$I$2:$I$500,MATCH($C$5&amp;"|"&amp;3,Data!$U$2:$U$500,0)),"")</f>
        <v>Credit</v>
      </c>
      <c r="G26" s="12" t="str">
        <f aca="false">IFERROR(INDEX(Data!$J$2:$J$500,MATCH($C$5&amp;"|"&amp;3,Data!$U$2:$U$500,0)),"")</f>
        <v>Self-Deposit</v>
      </c>
      <c r="H26" s="12" t="str">
        <f aca="false">IFERROR(INDEX(Data!$K$2:$K$500,MATCH($C$5&amp;"|"&amp;3,Data!$U$2:$U$500,0)),"")</f>
        <v>India</v>
      </c>
    </row>
    <row r="27" customFormat="false" ht="15" hidden="false" customHeight="false" outlineLevel="0" collapsed="false">
      <c r="B27" s="12" t="str">
        <f aca="false">IFERROR(INDEX(Data!$A$2:$A$500,MATCH($C$5&amp;"|"&amp;4,Data!$U$2:$U$500,0)),"")</f>
        <v/>
      </c>
      <c r="C27" s="30" t="str">
        <f aca="false">IFERROR(INDEX(Data!$F$2:$F$500,MATCH($C$5&amp;"|"&amp;4,Data!$U$2:$U$500,0)),"")</f>
        <v/>
      </c>
      <c r="D27" s="12" t="str">
        <f aca="false">IFERROR(INDEX(Data!$G$2:$G$500,MATCH($C$5&amp;"|"&amp;4,Data!$U$2:$U$500,0)),"")</f>
        <v/>
      </c>
      <c r="E27" s="14" t="str">
        <f aca="false">IFERROR(INDEX(Data!$H$2:$H$500,MATCH($C$5&amp;"|"&amp;4,Data!$U$2:$U$500,0)),"")</f>
        <v/>
      </c>
      <c r="F27" s="12" t="str">
        <f aca="false">IFERROR(INDEX(Data!$I$2:$I$500,MATCH($C$5&amp;"|"&amp;4,Data!$U$2:$U$500,0)),"")</f>
        <v/>
      </c>
      <c r="G27" s="12" t="str">
        <f aca="false">IFERROR(INDEX(Data!$J$2:$J$500,MATCH($C$5&amp;"|"&amp;4,Data!$U$2:$U$500,0)),"")</f>
        <v/>
      </c>
      <c r="H27" s="12" t="str">
        <f aca="false">IFERROR(INDEX(Data!$K$2:$K$500,MATCH($C$5&amp;"|"&amp;4,Data!$U$2:$U$500,0)),"")</f>
        <v/>
      </c>
    </row>
    <row r="28" customFormat="false" ht="15" hidden="false" customHeight="false" outlineLevel="0" collapsed="false">
      <c r="B28" s="12" t="str">
        <f aca="false">IFERROR(INDEX(Data!$A$2:$A$500,MATCH($C$5&amp;"|"&amp;5,Data!$U$2:$U$500,0)),"")</f>
        <v/>
      </c>
      <c r="C28" s="30" t="str">
        <f aca="false">IFERROR(INDEX(Data!$F$2:$F$500,MATCH($C$5&amp;"|"&amp;5,Data!$U$2:$U$500,0)),"")</f>
        <v/>
      </c>
      <c r="D28" s="12" t="str">
        <f aca="false">IFERROR(INDEX(Data!$G$2:$G$500,MATCH($C$5&amp;"|"&amp;5,Data!$U$2:$U$500,0)),"")</f>
        <v/>
      </c>
      <c r="E28" s="14" t="str">
        <f aca="false">IFERROR(INDEX(Data!$H$2:$H$500,MATCH($C$5&amp;"|"&amp;5,Data!$U$2:$U$500,0)),"")</f>
        <v/>
      </c>
      <c r="F28" s="12" t="str">
        <f aca="false">IFERROR(INDEX(Data!$I$2:$I$500,MATCH($C$5&amp;"|"&amp;5,Data!$U$2:$U$500,0)),"")</f>
        <v/>
      </c>
      <c r="G28" s="12" t="str">
        <f aca="false">IFERROR(INDEX(Data!$J$2:$J$500,MATCH($C$5&amp;"|"&amp;5,Data!$U$2:$U$500,0)),"")</f>
        <v/>
      </c>
      <c r="H28" s="12" t="str">
        <f aca="false">IFERROR(INDEX(Data!$K$2:$K$500,MATCH($C$5&amp;"|"&amp;5,Data!$U$2:$U$500,0)),"")</f>
        <v/>
      </c>
    </row>
    <row r="29" customFormat="false" ht="15" hidden="false" customHeight="false" outlineLevel="0" collapsed="false">
      <c r="B29" s="12" t="str">
        <f aca="false">IFERROR(INDEX(Data!$A$2:$A$500,MATCH($C$5&amp;"|"&amp;6,Data!$U$2:$U$500,0)),"")</f>
        <v/>
      </c>
      <c r="C29" s="30" t="str">
        <f aca="false">IFERROR(INDEX(Data!$F$2:$F$500,MATCH($C$5&amp;"|"&amp;6,Data!$U$2:$U$500,0)),"")</f>
        <v/>
      </c>
      <c r="D29" s="12" t="str">
        <f aca="false">IFERROR(INDEX(Data!$G$2:$G$500,MATCH($C$5&amp;"|"&amp;6,Data!$U$2:$U$500,0)),"")</f>
        <v/>
      </c>
      <c r="E29" s="14" t="str">
        <f aca="false">IFERROR(INDEX(Data!$H$2:$H$500,MATCH($C$5&amp;"|"&amp;6,Data!$U$2:$U$500,0)),"")</f>
        <v/>
      </c>
      <c r="F29" s="12" t="str">
        <f aca="false">IFERROR(INDEX(Data!$I$2:$I$500,MATCH($C$5&amp;"|"&amp;6,Data!$U$2:$U$500,0)),"")</f>
        <v/>
      </c>
      <c r="G29" s="12" t="str">
        <f aca="false">IFERROR(INDEX(Data!$J$2:$J$500,MATCH($C$5&amp;"|"&amp;6,Data!$U$2:$U$500,0)),"")</f>
        <v/>
      </c>
      <c r="H29" s="12" t="str">
        <f aca="false">IFERROR(INDEX(Data!$K$2:$K$500,MATCH($C$5&amp;"|"&amp;6,Data!$U$2:$U$500,0)),"")</f>
        <v/>
      </c>
    </row>
    <row r="30" customFormat="false" ht="15" hidden="false" customHeight="false" outlineLevel="0" collapsed="false">
      <c r="B30" s="12" t="str">
        <f aca="false">IFERROR(INDEX(Data!$A$2:$A$500,MATCH($C$5&amp;"|"&amp;7,Data!$U$2:$U$500,0)),"")</f>
        <v/>
      </c>
      <c r="C30" s="30" t="str">
        <f aca="false">IFERROR(INDEX(Data!$F$2:$F$500,MATCH($C$5&amp;"|"&amp;7,Data!$U$2:$U$500,0)),"")</f>
        <v/>
      </c>
      <c r="D30" s="12" t="str">
        <f aca="false">IFERROR(INDEX(Data!$G$2:$G$500,MATCH($C$5&amp;"|"&amp;7,Data!$U$2:$U$500,0)),"")</f>
        <v/>
      </c>
      <c r="E30" s="14" t="str">
        <f aca="false">IFERROR(INDEX(Data!$H$2:$H$500,MATCH($C$5&amp;"|"&amp;7,Data!$U$2:$U$500,0)),"")</f>
        <v/>
      </c>
      <c r="F30" s="12" t="str">
        <f aca="false">IFERROR(INDEX(Data!$I$2:$I$500,MATCH($C$5&amp;"|"&amp;7,Data!$U$2:$U$500,0)),"")</f>
        <v/>
      </c>
      <c r="G30" s="12" t="str">
        <f aca="false">IFERROR(INDEX(Data!$J$2:$J$500,MATCH($C$5&amp;"|"&amp;7,Data!$U$2:$U$500,0)),"")</f>
        <v/>
      </c>
      <c r="H30" s="12" t="str">
        <f aca="false">IFERROR(INDEX(Data!$K$2:$K$500,MATCH($C$5&amp;"|"&amp;7,Data!$U$2:$U$500,0)),"")</f>
        <v/>
      </c>
    </row>
    <row r="31" customFormat="false" ht="15" hidden="false" customHeight="false" outlineLevel="0" collapsed="false">
      <c r="B31" s="12" t="str">
        <f aca="false">IFERROR(INDEX(Data!$A$2:$A$500,MATCH($C$5&amp;"|"&amp;8,Data!$U$2:$U$500,0)),"")</f>
        <v/>
      </c>
      <c r="C31" s="30" t="str">
        <f aca="false">IFERROR(INDEX(Data!$F$2:$F$500,MATCH($C$5&amp;"|"&amp;8,Data!$U$2:$U$500,0)),"")</f>
        <v/>
      </c>
      <c r="D31" s="12" t="str">
        <f aca="false">IFERROR(INDEX(Data!$G$2:$G$500,MATCH($C$5&amp;"|"&amp;8,Data!$U$2:$U$500,0)),"")</f>
        <v/>
      </c>
      <c r="E31" s="14" t="str">
        <f aca="false">IFERROR(INDEX(Data!$H$2:$H$500,MATCH($C$5&amp;"|"&amp;8,Data!$U$2:$U$500,0)),"")</f>
        <v/>
      </c>
      <c r="F31" s="12" t="str">
        <f aca="false">IFERROR(INDEX(Data!$I$2:$I$500,MATCH($C$5&amp;"|"&amp;8,Data!$U$2:$U$500,0)),"")</f>
        <v/>
      </c>
      <c r="G31" s="12" t="str">
        <f aca="false">IFERROR(INDEX(Data!$J$2:$J$500,MATCH($C$5&amp;"|"&amp;8,Data!$U$2:$U$500,0)),"")</f>
        <v/>
      </c>
      <c r="H31" s="12" t="str">
        <f aca="false">IFERROR(INDEX(Data!$K$2:$K$500,MATCH($C$5&amp;"|"&amp;8,Data!$U$2:$U$500,0)),"")</f>
        <v/>
      </c>
    </row>
    <row r="32" customFormat="false" ht="15" hidden="false" customHeight="false" outlineLevel="0" collapsed="false">
      <c r="B32" s="12" t="str">
        <f aca="false">IFERROR(INDEX(Data!$A$2:$A$500,MATCH($C$5&amp;"|"&amp;9,Data!$U$2:$U$500,0)),"")</f>
        <v/>
      </c>
      <c r="C32" s="30" t="str">
        <f aca="false">IFERROR(INDEX(Data!$F$2:$F$500,MATCH($C$5&amp;"|"&amp;9,Data!$U$2:$U$500,0)),"")</f>
        <v/>
      </c>
      <c r="D32" s="12" t="str">
        <f aca="false">IFERROR(INDEX(Data!$G$2:$G$500,MATCH($C$5&amp;"|"&amp;9,Data!$U$2:$U$500,0)),"")</f>
        <v/>
      </c>
      <c r="E32" s="14" t="str">
        <f aca="false">IFERROR(INDEX(Data!$H$2:$H$500,MATCH($C$5&amp;"|"&amp;9,Data!$U$2:$U$500,0)),"")</f>
        <v/>
      </c>
      <c r="F32" s="12" t="str">
        <f aca="false">IFERROR(INDEX(Data!$I$2:$I$500,MATCH($C$5&amp;"|"&amp;9,Data!$U$2:$U$500,0)),"")</f>
        <v/>
      </c>
      <c r="G32" s="12" t="str">
        <f aca="false">IFERROR(INDEX(Data!$J$2:$J$500,MATCH($C$5&amp;"|"&amp;9,Data!$U$2:$U$500,0)),"")</f>
        <v/>
      </c>
      <c r="H32" s="12" t="str">
        <f aca="false">IFERROR(INDEX(Data!$K$2:$K$500,MATCH($C$5&amp;"|"&amp;9,Data!$U$2:$U$500,0)),"")</f>
        <v/>
      </c>
    </row>
    <row r="33" customFormat="false" ht="15" hidden="false" customHeight="false" outlineLevel="0" collapsed="false">
      <c r="B33" s="12" t="str">
        <f aca="false">IFERROR(INDEX(Data!$A$2:$A$500,MATCH($C$5&amp;"|"&amp;10,Data!$U$2:$U$500,0)),"")</f>
        <v/>
      </c>
      <c r="C33" s="30" t="str">
        <f aca="false">IFERROR(INDEX(Data!$F$2:$F$500,MATCH($C$5&amp;"|"&amp;10,Data!$U$2:$U$500,0)),"")</f>
        <v/>
      </c>
      <c r="D33" s="12" t="str">
        <f aca="false">IFERROR(INDEX(Data!$G$2:$G$500,MATCH($C$5&amp;"|"&amp;10,Data!$U$2:$U$500,0)),"")</f>
        <v/>
      </c>
      <c r="E33" s="14" t="str">
        <f aca="false">IFERROR(INDEX(Data!$H$2:$H$500,MATCH($C$5&amp;"|"&amp;10,Data!$U$2:$U$500,0)),"")</f>
        <v/>
      </c>
      <c r="F33" s="12" t="str">
        <f aca="false">IFERROR(INDEX(Data!$I$2:$I$500,MATCH($C$5&amp;"|"&amp;10,Data!$U$2:$U$500,0)),"")</f>
        <v/>
      </c>
      <c r="G33" s="12" t="str">
        <f aca="false">IFERROR(INDEX(Data!$J$2:$J$500,MATCH($C$5&amp;"|"&amp;10,Data!$U$2:$U$500,0)),"")</f>
        <v/>
      </c>
      <c r="H33" s="12" t="str">
        <f aca="false">IFERROR(INDEX(Data!$K$2:$K$500,MATCH($C$5&amp;"|"&amp;10,Data!$U$2:$U$500,0)),"")</f>
        <v/>
      </c>
    </row>
    <row r="35" customFormat="false" ht="15" hidden="false" customHeight="false" outlineLevel="0" collapsed="false">
      <c r="B35" s="9" t="s">
        <v>131</v>
      </c>
    </row>
  </sheetData>
  <mergeCells count="1">
    <mergeCell ref="B20:H20"/>
  </mergeCells>
  <dataValidations count="1">
    <dataValidation allowBlank="false" errorStyle="stop" operator="between" showDropDown="false" showErrorMessage="false" showInputMessage="false" sqref="C5" type="list">
      <formula1>"CUST01,CUST02,CUST03,CUST04,CUST05,CUST06,CUST07,CUST08,CUST09"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10"/>
  </cols>
  <sheetData>
    <row r="2" customFormat="false" ht="17.35" hidden="false" customHeight="false" outlineLevel="0" collapsed="false">
      <c r="B2" s="31" t="s">
        <v>132</v>
      </c>
    </row>
    <row r="4" customFormat="false" ht="31.5" hidden="false" customHeight="true" outlineLevel="0" collapsed="false">
      <c r="B4" s="32" t="s">
        <v>42</v>
      </c>
      <c r="C4" s="33" t="s">
        <v>133</v>
      </c>
    </row>
    <row r="5" customFormat="false" ht="31.5" hidden="false" customHeight="true" outlineLevel="0" collapsed="false">
      <c r="B5" s="32" t="s">
        <v>43</v>
      </c>
      <c r="C5" s="33" t="s">
        <v>134</v>
      </c>
    </row>
    <row r="6" customFormat="false" ht="31.5" hidden="false" customHeight="true" outlineLevel="0" collapsed="false">
      <c r="B6" s="32" t="s">
        <v>44</v>
      </c>
      <c r="C6" s="33" t="s">
        <v>135</v>
      </c>
    </row>
    <row r="7" customFormat="false" ht="31.5" hidden="false" customHeight="true" outlineLevel="0" collapsed="false">
      <c r="B7" s="32" t="s">
        <v>45</v>
      </c>
      <c r="C7" s="33" t="s">
        <v>136</v>
      </c>
    </row>
    <row r="8" customFormat="false" ht="31.5" hidden="false" customHeight="true" outlineLevel="0" collapsed="false">
      <c r="B8" s="32" t="s">
        <v>46</v>
      </c>
      <c r="C8" s="33" t="s">
        <v>137</v>
      </c>
    </row>
    <row r="9" customFormat="false" ht="31.5" hidden="false" customHeight="true" outlineLevel="0" collapsed="false">
      <c r="B9" s="32" t="s">
        <v>47</v>
      </c>
      <c r="C9" s="33" t="s">
        <v>138</v>
      </c>
    </row>
    <row r="10" customFormat="false" ht="31.5" hidden="false" customHeight="true" outlineLevel="0" collapsed="false">
      <c r="B10" s="32" t="s">
        <v>139</v>
      </c>
      <c r="C10" s="3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9" t="s">
        <v>141</v>
      </c>
    </row>
    <row r="3" customFormat="false" ht="15" hidden="false" customHeight="false" outlineLevel="0" collapsed="false">
      <c r="A3" s="7" t="s">
        <v>130</v>
      </c>
      <c r="B3" s="7" t="s">
        <v>19</v>
      </c>
      <c r="C3" s="7" t="s">
        <v>142</v>
      </c>
      <c r="E3" s="7" t="s">
        <v>143</v>
      </c>
      <c r="F3" s="7" t="s">
        <v>19</v>
      </c>
      <c r="G3" s="7" t="s">
        <v>142</v>
      </c>
    </row>
    <row r="4" customFormat="false" ht="15" hidden="false" customHeight="false" outlineLevel="0" collapsed="false">
      <c r="A4" s="8" t="s">
        <v>85</v>
      </c>
      <c r="B4" s="17" t="n">
        <f aca="false">SUMIFS(Data!$H$2:$H$500,Data!$J$2:$J$500,A4,Data!$R$2:$R$500,1)</f>
        <v>2500000</v>
      </c>
      <c r="C4" s="8" t="n">
        <f aca="false">COUNTIFS(Data!$J$2:$J$500,A4,Data!$R$2:$R$500,1)</f>
        <v>1</v>
      </c>
      <c r="E4" s="20" t="n">
        <v>45879</v>
      </c>
      <c r="F4" s="17" t="n">
        <f aca="false">SUMIFS(Data!$H$2:$H$500,Data!$S$2:$S$500,E4,Data!$R$2:$R$500,1)</f>
        <v>2000</v>
      </c>
      <c r="G4" s="8" t="n">
        <f aca="false">COUNTIFS(Data!$S$2:$S$500,E4,Data!$R$2:$R$500,1)</f>
        <v>1</v>
      </c>
    </row>
    <row r="5" customFormat="false" ht="15" hidden="false" customHeight="false" outlineLevel="0" collapsed="false">
      <c r="A5" s="8" t="s">
        <v>97</v>
      </c>
      <c r="B5" s="17" t="n">
        <f aca="false">SUMIFS(Data!$H$2:$H$500,Data!$J$2:$J$500,A5,Data!$R$2:$R$500,1)</f>
        <v>1975000</v>
      </c>
      <c r="C5" s="8" t="n">
        <f aca="false">COUNTIFS(Data!$J$2:$J$500,A5,Data!$R$2:$R$500,1)</f>
        <v>2</v>
      </c>
      <c r="E5" s="20" t="n">
        <v>46082</v>
      </c>
      <c r="F5" s="17" t="n">
        <f aca="false">SUMIFS(Data!$H$2:$H$500,Data!$S$2:$S$500,E5,Data!$R$2:$R$500,1)</f>
        <v>985000</v>
      </c>
      <c r="G5" s="8" t="n">
        <f aca="false">COUNTIFS(Data!$S$2:$S$500,E5,Data!$R$2:$R$500,1)</f>
        <v>1</v>
      </c>
    </row>
    <row r="6" customFormat="false" ht="15" hidden="false" customHeight="false" outlineLevel="0" collapsed="false">
      <c r="A6" s="8" t="s">
        <v>74</v>
      </c>
      <c r="B6" s="17" t="n">
        <f aca="false">SUMIFS(Data!$H$2:$H$500,Data!$J$2:$J$500,A6,Data!$R$2:$R$500,1)</f>
        <v>1200000</v>
      </c>
      <c r="C6" s="8" t="n">
        <f aca="false">COUNTIFS(Data!$J$2:$J$500,A6,Data!$R$2:$R$500,1)</f>
        <v>1</v>
      </c>
      <c r="E6" s="20" t="n">
        <v>46083</v>
      </c>
      <c r="F6" s="17" t="n">
        <f aca="false">SUMIFS(Data!$H$2:$H$500,Data!$S$2:$S$500,E6,Data!$R$2:$R$500,1)</f>
        <v>990000</v>
      </c>
      <c r="G6" s="8" t="n">
        <f aca="false">COUNTIFS(Data!$S$2:$S$500,E6,Data!$R$2:$R$500,1)</f>
        <v>1</v>
      </c>
    </row>
    <row r="7" customFormat="false" ht="15" hidden="false" customHeight="false" outlineLevel="0" collapsed="false">
      <c r="A7" s="8" t="s">
        <v>78</v>
      </c>
      <c r="B7" s="17" t="n">
        <f aca="false">SUMIFS(Data!$H$2:$H$500,Data!$J$2:$J$500,A7,Data!$R$2:$R$500,1)</f>
        <v>1180000</v>
      </c>
      <c r="C7" s="8" t="n">
        <f aca="false">COUNTIFS(Data!$J$2:$J$500,A7,Data!$R$2:$R$500,1)</f>
        <v>1</v>
      </c>
      <c r="E7" s="20" t="n">
        <v>46084</v>
      </c>
      <c r="F7" s="17" t="n">
        <f aca="false">SUMIFS(Data!$H$2:$H$500,Data!$S$2:$S$500,E7,Data!$R$2:$R$500,1)</f>
        <v>49000</v>
      </c>
      <c r="G7" s="8" t="n">
        <f aca="false">COUNTIFS(Data!$S$2:$S$500,E7,Data!$R$2:$R$500,1)</f>
        <v>1</v>
      </c>
    </row>
    <row r="8" customFormat="false" ht="15" hidden="false" customHeight="false" outlineLevel="0" collapsed="false">
      <c r="A8" s="8" t="s">
        <v>87</v>
      </c>
      <c r="B8" s="17" t="n">
        <f aca="false">SUMIFS(Data!$H$2:$H$500,Data!$J$2:$J$500,A8,Data!$R$2:$R$500,1)</f>
        <v>950000</v>
      </c>
      <c r="C8" s="8" t="n">
        <f aca="false">COUNTIFS(Data!$J$2:$J$500,A8,Data!$R$2:$R$500,1)</f>
        <v>1</v>
      </c>
      <c r="E8" s="20" t="n">
        <v>46085</v>
      </c>
      <c r="F8" s="17" t="n">
        <f aca="false">SUMIFS(Data!$H$2:$H$500,Data!$S$2:$S$500,E8,Data!$R$2:$R$500,1)</f>
        <v>48000</v>
      </c>
      <c r="G8" s="8" t="n">
        <f aca="false">COUNTIFS(Data!$S$2:$S$500,E8,Data!$R$2:$R$500,1)</f>
        <v>1</v>
      </c>
    </row>
    <row r="9" customFormat="false" ht="15" hidden="false" customHeight="false" outlineLevel="0" collapsed="false">
      <c r="A9" s="8" t="s">
        <v>66</v>
      </c>
      <c r="B9" s="17" t="n">
        <f aca="false">SUMIFS(Data!$H$2:$H$500,Data!$J$2:$J$500,A9,Data!$R$2:$R$500,1)</f>
        <v>146500</v>
      </c>
      <c r="C9" s="8" t="n">
        <f aca="false">COUNTIFS(Data!$J$2:$J$500,A9,Data!$R$2:$R$500,1)</f>
        <v>3</v>
      </c>
      <c r="E9" s="20" t="n">
        <v>46086</v>
      </c>
      <c r="F9" s="17" t="n">
        <f aca="false">SUMIFS(Data!$H$2:$H$500,Data!$S$2:$S$500,E9,Data!$R$2:$R$500,1)</f>
        <v>49500</v>
      </c>
      <c r="G9" s="8" t="n">
        <f aca="false">COUNTIFS(Data!$S$2:$S$500,E9,Data!$R$2:$R$500,1)</f>
        <v>1</v>
      </c>
    </row>
    <row r="10" customFormat="false" ht="15" hidden="false" customHeight="false" outlineLevel="0" collapsed="false">
      <c r="A10" s="8" t="s">
        <v>107</v>
      </c>
      <c r="B10" s="17" t="n">
        <f aca="false">SUMIFS(Data!$H$2:$H$500,Data!$J$2:$J$500,A10,Data!$R$2:$R$500,1)</f>
        <v>97500</v>
      </c>
      <c r="C10" s="8" t="n">
        <f aca="false">COUNTIFS(Data!$J$2:$J$500,A10,Data!$R$2:$R$500,1)</f>
        <v>2</v>
      </c>
      <c r="E10" s="20" t="n">
        <v>46087</v>
      </c>
      <c r="F10" s="17" t="n">
        <f aca="false">SUMIFS(Data!$H$2:$H$500,Data!$S$2:$S$500,E10,Data!$R$2:$R$500,1)</f>
        <v>2380000</v>
      </c>
      <c r="G10" s="8" t="n">
        <f aca="false">COUNTIFS(Data!$S$2:$S$500,E10,Data!$R$2:$R$500,1)</f>
        <v>2</v>
      </c>
    </row>
    <row r="11" customFormat="false" ht="15" hidden="false" customHeight="false" outlineLevel="0" collapsed="false">
      <c r="A11" s="8" t="s">
        <v>110</v>
      </c>
      <c r="B11" s="17" t="n">
        <f aca="false">SUMIFS(Data!$H$2:$H$500,Data!$J$2:$J$500,A11,Data!$R$2:$R$500,1)</f>
        <v>96000</v>
      </c>
      <c r="C11" s="8" t="n">
        <f aca="false">COUNTIFS(Data!$J$2:$J$500,A11,Data!$R$2:$R$500,1)</f>
        <v>1</v>
      </c>
      <c r="E11" s="20" t="n">
        <v>46088</v>
      </c>
      <c r="F11" s="17" t="n">
        <f aca="false">SUMIFS(Data!$H$2:$H$500,Data!$S$2:$S$500,E11,Data!$R$2:$R$500,1)</f>
        <v>2597500</v>
      </c>
      <c r="G11" s="8" t="n">
        <f aca="false">COUNTIFS(Data!$S$2:$S$500,E11,Data!$R$2:$R$500,1)</f>
        <v>3</v>
      </c>
    </row>
    <row r="12" customFormat="false" ht="15" hidden="false" customHeight="false" outlineLevel="0" collapsed="false">
      <c r="A12" s="8" t="s">
        <v>83</v>
      </c>
      <c r="B12" s="17" t="n">
        <f aca="false">SUMIFS(Data!$H$2:$H$500,Data!$J$2:$J$500,A12,Data!$R$2:$R$500,1)</f>
        <v>2000</v>
      </c>
      <c r="C12" s="8" t="n">
        <f aca="false">COUNTIFS(Data!$J$2:$J$500,A12,Data!$R$2:$R$500,1)</f>
        <v>1</v>
      </c>
      <c r="E12" s="20" t="n">
        <v>46089</v>
      </c>
      <c r="F12" s="17" t="n">
        <f aca="false">SUMIFS(Data!$H$2:$H$500,Data!$S$2:$S$500,E12,Data!$R$2:$R$500,1)</f>
        <v>1046000</v>
      </c>
      <c r="G12" s="8" t="n">
        <f aca="false">COUNTIFS(Data!$S$2:$S$500,E12,Data!$R$2:$R$500,1)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2026-09-28T08:53:38Z</dcterms:created>
  <dc:creator>openpyxl</dc:creator>
  <dc:description/>
  <dc:language>en-US</dc:language>
  <cp:lastModifiedBy/>
  <dcterms:modified xsi:type="dcterms:W3CDTF">2026-09-28T08:53:40Z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